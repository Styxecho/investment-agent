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Project\investment-agent\docs\reports\"/>
    </mc:Choice>
  </mc:AlternateContent>
  <xr:revisionPtr revIDLastSave="0" documentId="13_ncr:1_{ABEEB515-7CA4-43B3-A0C4-D54D18625875}" xr6:coauthVersionLast="47" xr6:coauthVersionMax="47" xr10:uidLastSave="{00000000-0000-0000-0000-000000000000}"/>
  <bookViews>
    <workbookView xWindow="-69" yWindow="-69" windowWidth="24823" windowHeight="14846" firstSheet="2" activeTab="3" xr2:uid="{8C57D3A1-071B-4ED9-AC39-27BA1672173B}"/>
  </bookViews>
  <sheets>
    <sheet name="PMI_MFG_M" sheetId="1" r:id="rId1"/>
    <sheet name="IAV_YOY_M" sheetId="3" r:id="rId2"/>
    <sheet name="PPI_YOY_M" sheetId="2" r:id="rId3"/>
    <sheet name="CPI_YOY_M" sheetId="4" r:id="rId4"/>
    <sheet name="NHCCI_D" sheetId="5" r:id="rId5"/>
    <sheet name="SFS_YOY_M" sheetId="7" r:id="rId6"/>
    <sheet name="M1_YOY_M" sheetId="8" r:id="rId7"/>
    <sheet name="M2_YOY_M" sheetId="9" r:id="rId8"/>
    <sheet name="M1M2_DIFF_M" sheetId="10" r:id="rId9"/>
    <sheet name="monthly_data_daily_factor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2" i="10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2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2" i="7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2" i="1"/>
</calcChain>
</file>

<file path=xl/sharedStrings.xml><?xml version="1.0" encoding="utf-8"?>
<sst xmlns="http://schemas.openxmlformats.org/spreadsheetml/2006/main" count="48" uniqueCount="16">
  <si>
    <t>publish_date</t>
  </si>
  <si>
    <t>factor_value_level</t>
    <phoneticPr fontId="2" type="noConversion"/>
  </si>
  <si>
    <t>factor_value_change</t>
    <phoneticPr fontId="2" type="noConversion"/>
  </si>
  <si>
    <t>raw_data</t>
    <phoneticPr fontId="2" type="noConversion"/>
  </si>
  <si>
    <t>日期</t>
  </si>
  <si>
    <t>南华商品指数</t>
  </si>
  <si>
    <t>中间价:美元兑人民币</t>
  </si>
  <si>
    <t>中国:银行间质押式回购加权利率:7天</t>
  </si>
  <si>
    <t>中债国债到期收益率:10年</t>
  </si>
  <si>
    <t>美元指数</t>
  </si>
  <si>
    <t>Date</t>
  </si>
  <si>
    <t>NH0100.NHF</t>
  </si>
  <si>
    <t>M0000185</t>
  </si>
  <si>
    <t>M0041653</t>
  </si>
  <si>
    <t>S0059749</t>
  </si>
  <si>
    <t>USDX.FX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</si>
</sst>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3" fontId="0" fillId="0" borderId="0" xfId="1" applyFont="1">
      <alignment vertical="center"/>
    </xf>
    <xf numFmtId="14" fontId="0" fillId="0" borderId="0" xfId="0" applyNumberForma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PMI_MFG_M</a:t>
            </a:r>
            <a:r>
              <a:rPr lang="en-US" altLang="zh-CN" baseline="0"/>
              <a:t> Raw vs Factor_value_level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PMI_MFG_M!$S$1</c:f>
              <c:strCache>
                <c:ptCount val="1"/>
                <c:pt idx="0">
                  <c:v>raw_data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PMI_MFG_M!$R$2:$R$118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PMI_MFG_M!$S$2:$S$118</c:f>
              <c:numCache>
                <c:formatCode>General</c:formatCode>
                <c:ptCount val="117"/>
                <c:pt idx="0">
                  <c:v>49.9</c:v>
                </c:pt>
                <c:pt idx="1">
                  <c:v>50.4</c:v>
                </c:pt>
                <c:pt idx="2">
                  <c:v>50.4</c:v>
                </c:pt>
                <c:pt idx="3">
                  <c:v>51.2</c:v>
                </c:pt>
                <c:pt idx="4">
                  <c:v>51.7</c:v>
                </c:pt>
                <c:pt idx="5">
                  <c:v>51.4</c:v>
                </c:pt>
                <c:pt idx="6">
                  <c:v>51.3</c:v>
                </c:pt>
                <c:pt idx="7">
                  <c:v>51.6</c:v>
                </c:pt>
                <c:pt idx="8">
                  <c:v>51.8</c:v>
                </c:pt>
                <c:pt idx="9">
                  <c:v>51.2</c:v>
                </c:pt>
                <c:pt idx="10">
                  <c:v>51.2</c:v>
                </c:pt>
                <c:pt idx="11">
                  <c:v>51.7</c:v>
                </c:pt>
                <c:pt idx="12">
                  <c:v>51.4</c:v>
                </c:pt>
                <c:pt idx="13">
                  <c:v>51.7</c:v>
                </c:pt>
                <c:pt idx="14">
                  <c:v>52.4</c:v>
                </c:pt>
                <c:pt idx="15">
                  <c:v>51.6</c:v>
                </c:pt>
                <c:pt idx="16">
                  <c:v>51.8</c:v>
                </c:pt>
                <c:pt idx="17">
                  <c:v>51.6</c:v>
                </c:pt>
                <c:pt idx="18">
                  <c:v>51.3</c:v>
                </c:pt>
                <c:pt idx="19">
                  <c:v>50.3</c:v>
                </c:pt>
                <c:pt idx="20">
                  <c:v>51.5</c:v>
                </c:pt>
                <c:pt idx="21">
                  <c:v>51.4</c:v>
                </c:pt>
                <c:pt idx="22">
                  <c:v>51.9</c:v>
                </c:pt>
                <c:pt idx="23">
                  <c:v>51.5</c:v>
                </c:pt>
                <c:pt idx="24">
                  <c:v>51.2</c:v>
                </c:pt>
                <c:pt idx="25">
                  <c:v>51.3</c:v>
                </c:pt>
                <c:pt idx="26">
                  <c:v>50.8</c:v>
                </c:pt>
                <c:pt idx="27">
                  <c:v>50.2</c:v>
                </c:pt>
                <c:pt idx="28">
                  <c:v>50</c:v>
                </c:pt>
                <c:pt idx="29">
                  <c:v>49.4</c:v>
                </c:pt>
                <c:pt idx="30">
                  <c:v>49.5</c:v>
                </c:pt>
                <c:pt idx="31">
                  <c:v>49.2</c:v>
                </c:pt>
                <c:pt idx="32">
                  <c:v>50.5</c:v>
                </c:pt>
                <c:pt idx="33">
                  <c:v>50.1</c:v>
                </c:pt>
                <c:pt idx="34">
                  <c:v>49.4</c:v>
                </c:pt>
                <c:pt idx="35">
                  <c:v>49.4</c:v>
                </c:pt>
                <c:pt idx="36">
                  <c:v>49.7</c:v>
                </c:pt>
                <c:pt idx="37">
                  <c:v>49.5</c:v>
                </c:pt>
                <c:pt idx="38">
                  <c:v>49.8</c:v>
                </c:pt>
                <c:pt idx="39">
                  <c:v>49.3</c:v>
                </c:pt>
                <c:pt idx="40">
                  <c:v>50.2</c:v>
                </c:pt>
                <c:pt idx="41">
                  <c:v>50.2</c:v>
                </c:pt>
                <c:pt idx="42">
                  <c:v>50</c:v>
                </c:pt>
                <c:pt idx="43">
                  <c:v>35.700000000000003</c:v>
                </c:pt>
                <c:pt idx="44">
                  <c:v>52</c:v>
                </c:pt>
                <c:pt idx="45">
                  <c:v>50.8</c:v>
                </c:pt>
                <c:pt idx="46">
                  <c:v>50.6</c:v>
                </c:pt>
                <c:pt idx="47">
                  <c:v>50.9</c:v>
                </c:pt>
                <c:pt idx="48">
                  <c:v>51.1</c:v>
                </c:pt>
                <c:pt idx="49">
                  <c:v>51</c:v>
                </c:pt>
                <c:pt idx="50">
                  <c:v>51.5</c:v>
                </c:pt>
                <c:pt idx="51">
                  <c:v>51.4</c:v>
                </c:pt>
                <c:pt idx="52">
                  <c:v>52.1</c:v>
                </c:pt>
                <c:pt idx="53">
                  <c:v>51.9</c:v>
                </c:pt>
                <c:pt idx="54">
                  <c:v>51.3</c:v>
                </c:pt>
                <c:pt idx="55">
                  <c:v>50.6</c:v>
                </c:pt>
                <c:pt idx="56">
                  <c:v>51.9</c:v>
                </c:pt>
                <c:pt idx="57">
                  <c:v>51.1</c:v>
                </c:pt>
                <c:pt idx="58">
                  <c:v>51</c:v>
                </c:pt>
                <c:pt idx="59">
                  <c:v>50.9</c:v>
                </c:pt>
                <c:pt idx="60">
                  <c:v>50.4</c:v>
                </c:pt>
                <c:pt idx="61">
                  <c:v>50.1</c:v>
                </c:pt>
                <c:pt idx="62">
                  <c:v>49.6</c:v>
                </c:pt>
                <c:pt idx="63">
                  <c:v>49.2</c:v>
                </c:pt>
                <c:pt idx="64">
                  <c:v>50.1</c:v>
                </c:pt>
                <c:pt idx="65">
                  <c:v>50.3</c:v>
                </c:pt>
                <c:pt idx="66">
                  <c:v>50.1</c:v>
                </c:pt>
                <c:pt idx="67">
                  <c:v>50.2</c:v>
                </c:pt>
                <c:pt idx="68">
                  <c:v>49.5</c:v>
                </c:pt>
                <c:pt idx="69">
                  <c:v>47.4</c:v>
                </c:pt>
                <c:pt idx="70">
                  <c:v>49.6</c:v>
                </c:pt>
                <c:pt idx="71">
                  <c:v>50.2</c:v>
                </c:pt>
                <c:pt idx="72">
                  <c:v>49</c:v>
                </c:pt>
                <c:pt idx="73">
                  <c:v>49.4</c:v>
                </c:pt>
                <c:pt idx="74">
                  <c:v>50.1</c:v>
                </c:pt>
                <c:pt idx="75">
                  <c:v>49.2</c:v>
                </c:pt>
                <c:pt idx="76">
                  <c:v>48</c:v>
                </c:pt>
                <c:pt idx="77">
                  <c:v>47</c:v>
                </c:pt>
                <c:pt idx="78">
                  <c:v>50.1</c:v>
                </c:pt>
                <c:pt idx="79">
                  <c:v>52.6</c:v>
                </c:pt>
                <c:pt idx="80">
                  <c:v>51.9</c:v>
                </c:pt>
                <c:pt idx="81">
                  <c:v>49.2</c:v>
                </c:pt>
                <c:pt idx="82">
                  <c:v>48.8</c:v>
                </c:pt>
                <c:pt idx="83">
                  <c:v>49</c:v>
                </c:pt>
                <c:pt idx="84">
                  <c:v>49.3</c:v>
                </c:pt>
                <c:pt idx="85">
                  <c:v>49.7</c:v>
                </c:pt>
                <c:pt idx="86">
                  <c:v>50.2</c:v>
                </c:pt>
                <c:pt idx="87">
                  <c:v>49.5</c:v>
                </c:pt>
                <c:pt idx="88">
                  <c:v>49.4</c:v>
                </c:pt>
                <c:pt idx="89">
                  <c:v>49</c:v>
                </c:pt>
                <c:pt idx="90">
                  <c:v>49.2</c:v>
                </c:pt>
                <c:pt idx="91">
                  <c:v>49.1</c:v>
                </c:pt>
                <c:pt idx="92">
                  <c:v>50.8</c:v>
                </c:pt>
                <c:pt idx="93">
                  <c:v>50.4</c:v>
                </c:pt>
                <c:pt idx="94">
                  <c:v>49.5</c:v>
                </c:pt>
                <c:pt idx="95">
                  <c:v>49.5</c:v>
                </c:pt>
                <c:pt idx="96">
                  <c:v>49.4</c:v>
                </c:pt>
                <c:pt idx="97">
                  <c:v>49.1</c:v>
                </c:pt>
                <c:pt idx="98">
                  <c:v>49.8</c:v>
                </c:pt>
                <c:pt idx="99">
                  <c:v>50.1</c:v>
                </c:pt>
                <c:pt idx="100">
                  <c:v>50.3</c:v>
                </c:pt>
                <c:pt idx="101">
                  <c:v>50.1</c:v>
                </c:pt>
                <c:pt idx="102">
                  <c:v>49.1</c:v>
                </c:pt>
                <c:pt idx="103">
                  <c:v>50.2</c:v>
                </c:pt>
                <c:pt idx="104">
                  <c:v>50.5</c:v>
                </c:pt>
                <c:pt idx="105">
                  <c:v>49</c:v>
                </c:pt>
                <c:pt idx="106">
                  <c:v>49.5</c:v>
                </c:pt>
                <c:pt idx="107">
                  <c:v>49.7</c:v>
                </c:pt>
                <c:pt idx="108">
                  <c:v>49.3</c:v>
                </c:pt>
                <c:pt idx="109">
                  <c:v>49.4</c:v>
                </c:pt>
                <c:pt idx="110">
                  <c:v>49.8</c:v>
                </c:pt>
                <c:pt idx="111">
                  <c:v>49</c:v>
                </c:pt>
                <c:pt idx="112">
                  <c:v>49.2</c:v>
                </c:pt>
                <c:pt idx="113">
                  <c:v>50.1</c:v>
                </c:pt>
                <c:pt idx="114">
                  <c:v>49.3</c:v>
                </c:pt>
                <c:pt idx="115">
                  <c:v>49</c:v>
                </c:pt>
                <c:pt idx="116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1-4FBE-80CB-655CA679D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051680"/>
        <c:axId val="660068480"/>
      </c:lineChart>
      <c:lineChart>
        <c:grouping val="standard"/>
        <c:varyColors val="0"/>
        <c:ser>
          <c:idx val="1"/>
          <c:order val="1"/>
          <c:tx>
            <c:strRef>
              <c:f>PMI_MFG_M!$T$1</c:f>
              <c:strCache>
                <c:ptCount val="1"/>
                <c:pt idx="0">
                  <c:v> factor_value_level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PMI_MFG_M!$R$2:$R$118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PMI_MFG_M!$T$2:$T$118</c:f>
              <c:numCache>
                <c:formatCode>_(* #,##0.00_);_(* \(#,##0.00\);_(* "-"??_);_(@_)</c:formatCode>
                <c:ptCount val="117"/>
                <c:pt idx="0">
                  <c:v>0.104532942752062</c:v>
                </c:pt>
                <c:pt idx="1">
                  <c:v>1.4909800084253699</c:v>
                </c:pt>
                <c:pt idx="2">
                  <c:v>1.1529241031678901</c:v>
                </c:pt>
                <c:pt idx="3">
                  <c:v>3</c:v>
                </c:pt>
                <c:pt idx="4">
                  <c:v>3</c:v>
                </c:pt>
                <c:pt idx="5">
                  <c:v>1.5717237746454999</c:v>
                </c:pt>
                <c:pt idx="6">
                  <c:v>0.99261227132301699</c:v>
                </c:pt>
                <c:pt idx="7">
                  <c:v>1.31216597657056</c:v>
                </c:pt>
                <c:pt idx="8">
                  <c:v>1.35784722437211</c:v>
                </c:pt>
                <c:pt idx="9">
                  <c:v>-9.0471640473489295E-2</c:v>
                </c:pt>
                <c:pt idx="10">
                  <c:v>-0.15238474286281201</c:v>
                </c:pt>
                <c:pt idx="11">
                  <c:v>0.75015287185034296</c:v>
                </c:pt>
                <c:pt idx="12">
                  <c:v>-4.1082982712151501E-2</c:v>
                </c:pt>
                <c:pt idx="13">
                  <c:v>0.46953791198824202</c:v>
                </c:pt>
                <c:pt idx="14">
                  <c:v>1.6908691274394001</c:v>
                </c:pt>
                <c:pt idx="15">
                  <c:v>-0.28554291945917298</c:v>
                </c:pt>
                <c:pt idx="16">
                  <c:v>6.1462748262980003E-2</c:v>
                </c:pt>
                <c:pt idx="17">
                  <c:v>-0.439867704232907</c:v>
                </c:pt>
                <c:pt idx="18">
                  <c:v>-1.0621816523071499</c:v>
                </c:pt>
                <c:pt idx="19">
                  <c:v>-2.9951117010639399</c:v>
                </c:pt>
                <c:pt idx="20">
                  <c:v>-0.14044533401022799</c:v>
                </c:pt>
                <c:pt idx="21">
                  <c:v>-0.37427821543094603</c:v>
                </c:pt>
                <c:pt idx="22">
                  <c:v>0.51676913620910203</c:v>
                </c:pt>
                <c:pt idx="23">
                  <c:v>-0.366646805171429</c:v>
                </c:pt>
                <c:pt idx="24">
                  <c:v>-0.90851454778975305</c:v>
                </c:pt>
                <c:pt idx="25">
                  <c:v>-0.63743276526819803</c:v>
                </c:pt>
                <c:pt idx="26">
                  <c:v>-1.50751275101684</c:v>
                </c:pt>
                <c:pt idx="27">
                  <c:v>-2.3285496979832798</c:v>
                </c:pt>
                <c:pt idx="28">
                  <c:v>-2.1815734437025598</c:v>
                </c:pt>
                <c:pt idx="29">
                  <c:v>-2.6859973722210002</c:v>
                </c:pt>
                <c:pt idx="30">
                  <c:v>-1.9267447036901999</c:v>
                </c:pt>
                <c:pt idx="31">
                  <c:v>-1.9798825569532399</c:v>
                </c:pt>
                <c:pt idx="32">
                  <c:v>6.8257927751776207E-2</c:v>
                </c:pt>
                <c:pt idx="33">
                  <c:v>-0.487149643463689</c:v>
                </c:pt>
                <c:pt idx="34">
                  <c:v>-1.33929984409682</c:v>
                </c:pt>
                <c:pt idx="35">
                  <c:v>-1.0820811944097399</c:v>
                </c:pt>
                <c:pt idx="36">
                  <c:v>-0.49536819220943001</c:v>
                </c:pt>
                <c:pt idx="37">
                  <c:v>-0.66488260109048802</c:v>
                </c:pt>
                <c:pt idx="38">
                  <c:v>-0.149557563139705</c:v>
                </c:pt>
                <c:pt idx="39">
                  <c:v>-0.74458074726179402</c:v>
                </c:pt>
                <c:pt idx="40">
                  <c:v>0.60414872024188404</c:v>
                </c:pt>
                <c:pt idx="41">
                  <c:v>0.60092392753273804</c:v>
                </c:pt>
                <c:pt idx="42">
                  <c:v>0.28362282685061102</c:v>
                </c:pt>
                <c:pt idx="43">
                  <c:v>-3</c:v>
                </c:pt>
                <c:pt idx="44">
                  <c:v>1.9766527139502901</c:v>
                </c:pt>
                <c:pt idx="45">
                  <c:v>1.12324964434056</c:v>
                </c:pt>
                <c:pt idx="46">
                  <c:v>0.86217142215064901</c:v>
                </c:pt>
                <c:pt idx="47">
                  <c:v>0.84339214158915998</c:v>
                </c:pt>
                <c:pt idx="48">
                  <c:v>0.79219200132743905</c:v>
                </c:pt>
                <c:pt idx="49">
                  <c:v>0.63049637227810096</c:v>
                </c:pt>
                <c:pt idx="50">
                  <c:v>0.72545614404165204</c:v>
                </c:pt>
                <c:pt idx="51">
                  <c:v>0.58370263526462296</c:v>
                </c:pt>
                <c:pt idx="52">
                  <c:v>0.75346337898071303</c:v>
                </c:pt>
                <c:pt idx="53">
                  <c:v>0.55615986197488898</c:v>
                </c:pt>
                <c:pt idx="54">
                  <c:v>0.245533834150092</c:v>
                </c:pt>
                <c:pt idx="55">
                  <c:v>-4.8914118848716499E-2</c:v>
                </c:pt>
                <c:pt idx="56">
                  <c:v>0.43289203568263601</c:v>
                </c:pt>
                <c:pt idx="57">
                  <c:v>6.8237778636231997E-2</c:v>
                </c:pt>
                <c:pt idx="58">
                  <c:v>2.4156810194360001E-2</c:v>
                </c:pt>
                <c:pt idx="59">
                  <c:v>-7.0399804593850304E-3</c:v>
                </c:pt>
                <c:pt idx="60">
                  <c:v>-0.183156898114918</c:v>
                </c:pt>
                <c:pt idx="61">
                  <c:v>-0.25670905451671699</c:v>
                </c:pt>
                <c:pt idx="62">
                  <c:v>-0.38787718602045201</c:v>
                </c:pt>
                <c:pt idx="63">
                  <c:v>-0.46166991137608399</c:v>
                </c:pt>
                <c:pt idx="64">
                  <c:v>-5.1466951831192001E-2</c:v>
                </c:pt>
                <c:pt idx="65">
                  <c:v>2.8502317906356399E-2</c:v>
                </c:pt>
                <c:pt idx="66">
                  <c:v>-5.8415392082729202E-2</c:v>
                </c:pt>
                <c:pt idx="67">
                  <c:v>-1.8871860170900999E-2</c:v>
                </c:pt>
                <c:pt idx="68">
                  <c:v>-0.284865290692072</c:v>
                </c:pt>
                <c:pt idx="69">
                  <c:v>-1.00547765104123</c:v>
                </c:pt>
                <c:pt idx="70">
                  <c:v>-1.11161373561509E-2</c:v>
                </c:pt>
                <c:pt idx="71">
                  <c:v>0.20720771391279999</c:v>
                </c:pt>
                <c:pt idx="72">
                  <c:v>-0.27016963833525898</c:v>
                </c:pt>
                <c:pt idx="73">
                  <c:v>-7.5630747386759095E-2</c:v>
                </c:pt>
                <c:pt idx="74">
                  <c:v>0.19204078673515501</c:v>
                </c:pt>
                <c:pt idx="75">
                  <c:v>-0.168367739777225</c:v>
                </c:pt>
                <c:pt idx="76">
                  <c:v>-0.57856895736486502</c:v>
                </c:pt>
                <c:pt idx="77">
                  <c:v>-0.828043323536924</c:v>
                </c:pt>
                <c:pt idx="78">
                  <c:v>0.45189712762087098</c:v>
                </c:pt>
                <c:pt idx="79">
                  <c:v>1.27650779482756</c:v>
                </c:pt>
                <c:pt idx="80">
                  <c:v>1.2376078094922001</c:v>
                </c:pt>
                <c:pt idx="81">
                  <c:v>-0.82984306431110999</c:v>
                </c:pt>
                <c:pt idx="82">
                  <c:v>-0.987755908632448</c:v>
                </c:pt>
                <c:pt idx="83">
                  <c:v>-0.654454918407955</c:v>
                </c:pt>
                <c:pt idx="84">
                  <c:v>-0.29271354586929499</c:v>
                </c:pt>
                <c:pt idx="85">
                  <c:v>0.102265978215818</c:v>
                </c:pt>
                <c:pt idx="86">
                  <c:v>0.52038378783055605</c:v>
                </c:pt>
                <c:pt idx="87">
                  <c:v>-9.7328032019930302E-2</c:v>
                </c:pt>
                <c:pt idx="88">
                  <c:v>-0.123796231796146</c:v>
                </c:pt>
                <c:pt idx="89">
                  <c:v>-0.39426691162545002</c:v>
                </c:pt>
                <c:pt idx="90">
                  <c:v>-8.9588222225028796E-2</c:v>
                </c:pt>
                <c:pt idx="91">
                  <c:v>-0.11405013290013501</c:v>
                </c:pt>
                <c:pt idx="92">
                  <c:v>1.48028396787933</c:v>
                </c:pt>
                <c:pt idx="93">
                  <c:v>0.90882906770677796</c:v>
                </c:pt>
                <c:pt idx="94">
                  <c:v>-1.99425688982212E-2</c:v>
                </c:pt>
                <c:pt idx="95">
                  <c:v>2.0106312128475402E-2</c:v>
                </c:pt>
                <c:pt idx="96">
                  <c:v>-3.7247866687225302E-2</c:v>
                </c:pt>
                <c:pt idx="97">
                  <c:v>-0.27361450097908002</c:v>
                </c:pt>
                <c:pt idx="98">
                  <c:v>0.41667542870929902</c:v>
                </c:pt>
                <c:pt idx="99">
                  <c:v>0.62030733138904404</c:v>
                </c:pt>
                <c:pt idx="100">
                  <c:v>0.69095909359804597</c:v>
                </c:pt>
                <c:pt idx="101">
                  <c:v>0.39500339933192902</c:v>
                </c:pt>
                <c:pt idx="102">
                  <c:v>-0.56446852519809398</c:v>
                </c:pt>
                <c:pt idx="103">
                  <c:v>0.53847895009044799</c:v>
                </c:pt>
                <c:pt idx="104">
                  <c:v>0.72248697277847695</c:v>
                </c:pt>
                <c:pt idx="105">
                  <c:v>-0.75594626201418302</c:v>
                </c:pt>
                <c:pt idx="106">
                  <c:v>-0.252421833535387</c:v>
                </c:pt>
                <c:pt idx="107">
                  <c:v>-1.6397239668452E-2</c:v>
                </c:pt>
                <c:pt idx="108">
                  <c:v>-0.39036317722567998</c:v>
                </c:pt>
                <c:pt idx="109">
                  <c:v>-0.24240453833808701</c:v>
                </c:pt>
                <c:pt idx="110">
                  <c:v>0.18727248651800599</c:v>
                </c:pt>
                <c:pt idx="111">
                  <c:v>-0.61982530771222799</c:v>
                </c:pt>
                <c:pt idx="112">
                  <c:v>-0.32157647150683999</c:v>
                </c:pt>
                <c:pt idx="113">
                  <c:v>0.59972847291547704</c:v>
                </c:pt>
                <c:pt idx="114">
                  <c:v>-0.43171110370156501</c:v>
                </c:pt>
                <c:pt idx="115">
                  <c:v>-0.68565790296988205</c:v>
                </c:pt>
                <c:pt idx="116">
                  <c:v>1.46300135070132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B1-4FBE-80CB-655CA679D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909088"/>
        <c:axId val="833916768"/>
      </c:lineChart>
      <c:dateAx>
        <c:axId val="660051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068480"/>
        <c:crosses val="autoZero"/>
        <c:auto val="1"/>
        <c:lblOffset val="100"/>
        <c:baseTimeUnit val="months"/>
      </c:dateAx>
      <c:valAx>
        <c:axId val="660068480"/>
        <c:scaling>
          <c:orientation val="minMax"/>
          <c:max val="5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051680"/>
        <c:crosses val="autoZero"/>
        <c:crossBetween val="between"/>
      </c:valAx>
      <c:valAx>
        <c:axId val="833916768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909088"/>
        <c:crosses val="max"/>
        <c:crossBetween val="between"/>
      </c:valAx>
      <c:dateAx>
        <c:axId val="8339090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3391676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PMI_MFG_M!$U$1</c:f>
              <c:strCache>
                <c:ptCount val="1"/>
                <c:pt idx="0">
                  <c:v>factor_value_change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PMI_MFG_M!$R$2:$R$118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PMI_MFG_M!$U$2:$U$118</c:f>
              <c:numCache>
                <c:formatCode>_(* #,##0.00_);_(* \(#,##0.00\);_(* "-"??_);_(@_)</c:formatCode>
                <c:ptCount val="117"/>
                <c:pt idx="1">
                  <c:v>1.18709802783042</c:v>
                </c:pt>
                <c:pt idx="2">
                  <c:v>-0.29436390566687598</c:v>
                </c:pt>
                <c:pt idx="3">
                  <c:v>1.7503754168996799</c:v>
                </c:pt>
                <c:pt idx="4">
                  <c:v>0.60484345040266096</c:v>
                </c:pt>
                <c:pt idx="5">
                  <c:v>-1.4786900252924899</c:v>
                </c:pt>
                <c:pt idx="6">
                  <c:v>-0.71182776592010299</c:v>
                </c:pt>
                <c:pt idx="7">
                  <c:v>0.36265048243109799</c:v>
                </c:pt>
                <c:pt idx="8">
                  <c:v>3.8787348212868E-2</c:v>
                </c:pt>
                <c:pt idx="9">
                  <c:v>-1.98243462381487</c:v>
                </c:pt>
                <c:pt idx="10">
                  <c:v>-0.117115884416175</c:v>
                </c:pt>
                <c:pt idx="11">
                  <c:v>1.1062828422011599</c:v>
                </c:pt>
                <c:pt idx="12">
                  <c:v>-1.03780635598431</c:v>
                </c:pt>
                <c:pt idx="13">
                  <c:v>0.590901438041883</c:v>
                </c:pt>
                <c:pt idx="14">
                  <c:v>1.4546495860278399</c:v>
                </c:pt>
                <c:pt idx="15">
                  <c:v>-2.4348626853789499</c:v>
                </c:pt>
                <c:pt idx="16">
                  <c:v>0.36665676580762102</c:v>
                </c:pt>
                <c:pt idx="17">
                  <c:v>-0.60621748995033098</c:v>
                </c:pt>
                <c:pt idx="18">
                  <c:v>-0.73457806758825495</c:v>
                </c:pt>
                <c:pt idx="19">
                  <c:v>-2.2196655952453002</c:v>
                </c:pt>
                <c:pt idx="20">
                  <c:v>3</c:v>
                </c:pt>
                <c:pt idx="21">
                  <c:v>-0.27632172347814299</c:v>
                </c:pt>
                <c:pt idx="22">
                  <c:v>0.96957527210783701</c:v>
                </c:pt>
                <c:pt idx="23">
                  <c:v>-1.01037439841914</c:v>
                </c:pt>
                <c:pt idx="24">
                  <c:v>-0.63551815320831095</c:v>
                </c:pt>
                <c:pt idx="25">
                  <c:v>0.27987510294071999</c:v>
                </c:pt>
                <c:pt idx="26">
                  <c:v>-0.99294938789993303</c:v>
                </c:pt>
                <c:pt idx="27">
                  <c:v>-1.02309377563509</c:v>
                </c:pt>
                <c:pt idx="28">
                  <c:v>-2.2366480712734799E-2</c:v>
                </c:pt>
                <c:pt idx="29">
                  <c:v>-0.83909269133471498</c:v>
                </c:pt>
                <c:pt idx="30">
                  <c:v>0.76378823420506203</c:v>
                </c:pt>
                <c:pt idx="31">
                  <c:v>-0.19090276222577199</c:v>
                </c:pt>
                <c:pt idx="32">
                  <c:v>3</c:v>
                </c:pt>
                <c:pt idx="33">
                  <c:v>-0.81008798299978002</c:v>
                </c:pt>
                <c:pt idx="34">
                  <c:v>-1.2290884842359799</c:v>
                </c:pt>
                <c:pt idx="35">
                  <c:v>0.30906371096019403</c:v>
                </c:pt>
                <c:pt idx="36">
                  <c:v>0.82062817993613302</c:v>
                </c:pt>
                <c:pt idx="37">
                  <c:v>-0.25058570947398301</c:v>
                </c:pt>
                <c:pt idx="38">
                  <c:v>0.70878653771914901</c:v>
                </c:pt>
                <c:pt idx="39">
                  <c:v>-0.88601815190005995</c:v>
                </c:pt>
                <c:pt idx="40">
                  <c:v>1.83622281033469</c:v>
                </c:pt>
                <c:pt idx="41">
                  <c:v>-0.13149964646057499</c:v>
                </c:pt>
                <c:pt idx="42">
                  <c:v>-0.46254754448908098</c:v>
                </c:pt>
                <c:pt idx="43">
                  <c:v>-3</c:v>
                </c:pt>
                <c:pt idx="44">
                  <c:v>3</c:v>
                </c:pt>
                <c:pt idx="45">
                  <c:v>-0.560733296496431</c:v>
                </c:pt>
                <c:pt idx="46">
                  <c:v>-0.17691270425257</c:v>
                </c:pt>
                <c:pt idx="47">
                  <c:v>-3.5889241977751299E-3</c:v>
                </c:pt>
                <c:pt idx="48">
                  <c:v>-3.40362104246539E-2</c:v>
                </c:pt>
                <c:pt idx="49">
                  <c:v>-0.117769616488476</c:v>
                </c:pt>
                <c:pt idx="50">
                  <c:v>7.7321820582108194E-2</c:v>
                </c:pt>
                <c:pt idx="51">
                  <c:v>-0.110944368267961</c:v>
                </c:pt>
                <c:pt idx="52">
                  <c:v>0.142732122668427</c:v>
                </c:pt>
                <c:pt idx="53">
                  <c:v>-0.14053563698611199</c:v>
                </c:pt>
                <c:pt idx="54">
                  <c:v>-0.23512304976368401</c:v>
                </c:pt>
                <c:pt idx="55">
                  <c:v>-0.22472232538363601</c:v>
                </c:pt>
                <c:pt idx="56">
                  <c:v>0.39337748237498699</c:v>
                </c:pt>
                <c:pt idx="57">
                  <c:v>-0.27959954969587902</c:v>
                </c:pt>
                <c:pt idx="58">
                  <c:v>-3.3599656428252099E-2</c:v>
                </c:pt>
                <c:pt idx="59">
                  <c:v>-2.78298586328923E-2</c:v>
                </c:pt>
                <c:pt idx="60">
                  <c:v>-0.135232226859093</c:v>
                </c:pt>
                <c:pt idx="61">
                  <c:v>-5.5582008945874797E-2</c:v>
                </c:pt>
                <c:pt idx="62">
                  <c:v>-0.10106985389180401</c:v>
                </c:pt>
                <c:pt idx="63">
                  <c:v>-4.9509821978124501E-2</c:v>
                </c:pt>
                <c:pt idx="64">
                  <c:v>0.33071297858314302</c:v>
                </c:pt>
                <c:pt idx="65">
                  <c:v>7.36000040648363E-2</c:v>
                </c:pt>
                <c:pt idx="66">
                  <c:v>-5.5393890322830902E-2</c:v>
                </c:pt>
                <c:pt idx="67">
                  <c:v>3.8981856508264801E-2</c:v>
                </c:pt>
                <c:pt idx="68">
                  <c:v>-0.20433970933650999</c:v>
                </c:pt>
                <c:pt idx="69">
                  <c:v>-0.56600530787779502</c:v>
                </c:pt>
                <c:pt idx="70">
                  <c:v>0.77235444584021395</c:v>
                </c:pt>
                <c:pt idx="71">
                  <c:v>0.18171057591668499</c:v>
                </c:pt>
                <c:pt idx="72">
                  <c:v>-0.36718363191643999</c:v>
                </c:pt>
                <c:pt idx="73">
                  <c:v>0.15220830667065999</c:v>
                </c:pt>
                <c:pt idx="74">
                  <c:v>0.21267066885115299</c:v>
                </c:pt>
                <c:pt idx="75">
                  <c:v>-0.28414737513226301</c:v>
                </c:pt>
                <c:pt idx="76">
                  <c:v>-0.32412139154150998</c:v>
                </c:pt>
                <c:pt idx="77">
                  <c:v>-0.211000470858762</c:v>
                </c:pt>
                <c:pt idx="78">
                  <c:v>0.99236861947142596</c:v>
                </c:pt>
                <c:pt idx="79">
                  <c:v>0.64435460972332603</c:v>
                </c:pt>
                <c:pt idx="80">
                  <c:v>-0.37246662197173602</c:v>
                </c:pt>
                <c:pt idx="81">
                  <c:v>-0.86559117387537599</c:v>
                </c:pt>
                <c:pt idx="82">
                  <c:v>-7.2064338698678204E-2</c:v>
                </c:pt>
                <c:pt idx="83">
                  <c:v>0.104643650928575</c:v>
                </c:pt>
                <c:pt idx="84">
                  <c:v>0.115268052715829</c:v>
                </c:pt>
                <c:pt idx="85">
                  <c:v>0.125429325201489</c:v>
                </c:pt>
                <c:pt idx="86">
                  <c:v>0.13052144412438799</c:v>
                </c:pt>
                <c:pt idx="87">
                  <c:v>-0.22539055281282</c:v>
                </c:pt>
                <c:pt idx="88">
                  <c:v>-2.2214693725414299E-2</c:v>
                </c:pt>
                <c:pt idx="89">
                  <c:v>-9.6705214310778304E-2</c:v>
                </c:pt>
                <c:pt idx="90">
                  <c:v>8.7900659770116907E-2</c:v>
                </c:pt>
                <c:pt idx="91">
                  <c:v>-1.16447441577044E-2</c:v>
                </c:pt>
                <c:pt idx="92">
                  <c:v>0.50664921904915905</c:v>
                </c:pt>
                <c:pt idx="93">
                  <c:v>-0.489063726415077</c:v>
                </c:pt>
                <c:pt idx="94">
                  <c:v>-0.89297017543864898</c:v>
                </c:pt>
                <c:pt idx="95">
                  <c:v>7.3480273135745997E-2</c:v>
                </c:pt>
                <c:pt idx="96">
                  <c:v>-2.23525041459493E-2</c:v>
                </c:pt>
                <c:pt idx="97">
                  <c:v>-0.193603830511557</c:v>
                </c:pt>
                <c:pt idx="98">
                  <c:v>0.741964673904975</c:v>
                </c:pt>
                <c:pt idx="99">
                  <c:v>0.261933616586005</c:v>
                </c:pt>
                <c:pt idx="100">
                  <c:v>0.12441485888838801</c:v>
                </c:pt>
                <c:pt idx="101">
                  <c:v>-0.24508037222663601</c:v>
                </c:pt>
                <c:pt idx="102">
                  <c:v>-0.92834903099406996</c:v>
                </c:pt>
                <c:pt idx="103">
                  <c:v>1.1096593878188501</c:v>
                </c:pt>
                <c:pt idx="104">
                  <c:v>0.18591421601902999</c:v>
                </c:pt>
                <c:pt idx="105">
                  <c:v>-1.44896999886003</c:v>
                </c:pt>
                <c:pt idx="106">
                  <c:v>0.58712769762168404</c:v>
                </c:pt>
                <c:pt idx="107">
                  <c:v>0.21743868423003099</c:v>
                </c:pt>
                <c:pt idx="108">
                  <c:v>-0.35448843295273103</c:v>
                </c:pt>
                <c:pt idx="109">
                  <c:v>0.142332237647008</c:v>
                </c:pt>
                <c:pt idx="110">
                  <c:v>0.37970143658893102</c:v>
                </c:pt>
                <c:pt idx="111">
                  <c:v>-0.76187117263708104</c:v>
                </c:pt>
                <c:pt idx="112">
                  <c:v>0.25005751556189998</c:v>
                </c:pt>
                <c:pt idx="113">
                  <c:v>0.85122286625911603</c:v>
                </c:pt>
                <c:pt idx="114">
                  <c:v>-0.80390824847458997</c:v>
                </c:pt>
                <c:pt idx="115">
                  <c:v>-0.22472044596617799</c:v>
                </c:pt>
                <c:pt idx="116">
                  <c:v>1.3133110794590099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1-493F-9124-17CE34D00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942208"/>
        <c:axId val="833943648"/>
      </c:lineChart>
      <c:dateAx>
        <c:axId val="833942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943648"/>
        <c:crosses val="autoZero"/>
        <c:auto val="1"/>
        <c:lblOffset val="100"/>
        <c:baseTimeUnit val="months"/>
      </c:dateAx>
      <c:valAx>
        <c:axId val="83394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94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IAV_YOY_M Raw VS.</a:t>
            </a:r>
            <a:r>
              <a:rPr lang="en-US" altLang="zh-CN" baseline="0"/>
              <a:t> Factor_value_level</a:t>
            </a:r>
            <a:endParaRPr lang="zh-CN" altLang="en-US"/>
          </a:p>
        </c:rich>
      </c:tx>
      <c:layout>
        <c:manualLayout>
          <c:xMode val="edge"/>
          <c:yMode val="edge"/>
          <c:x val="0.44423027725074105"/>
          <c:y val="1.9251916020413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IAV_YOY_M!$C$1</c:f>
              <c:strCache>
                <c:ptCount val="1"/>
                <c:pt idx="0">
                  <c:v>raw_data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IAV_YOY_M!$B$2:$B$118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IAV_YOY_M!$C$2:$C$118</c:f>
              <c:numCache>
                <c:formatCode>General</c:formatCode>
                <c:ptCount val="117"/>
                <c:pt idx="0">
                  <c:v>6</c:v>
                </c:pt>
                <c:pt idx="1">
                  <c:v>6.3</c:v>
                </c:pt>
                <c:pt idx="2">
                  <c:v>6.1</c:v>
                </c:pt>
                <c:pt idx="3">
                  <c:v>6.1</c:v>
                </c:pt>
                <c:pt idx="4">
                  <c:v>6.2</c:v>
                </c:pt>
                <c:pt idx="5">
                  <c:v>6</c:v>
                </c:pt>
                <c:pt idx="7">
                  <c:v>6.3</c:v>
                </c:pt>
                <c:pt idx="8">
                  <c:v>7.6</c:v>
                </c:pt>
                <c:pt idx="9">
                  <c:v>6.5</c:v>
                </c:pt>
                <c:pt idx="10">
                  <c:v>6.5</c:v>
                </c:pt>
                <c:pt idx="11">
                  <c:v>7.6</c:v>
                </c:pt>
                <c:pt idx="12">
                  <c:v>6.4</c:v>
                </c:pt>
                <c:pt idx="13">
                  <c:v>6</c:v>
                </c:pt>
                <c:pt idx="14">
                  <c:v>6.6</c:v>
                </c:pt>
                <c:pt idx="15">
                  <c:v>6.2</c:v>
                </c:pt>
                <c:pt idx="16">
                  <c:v>6.1</c:v>
                </c:pt>
                <c:pt idx="17">
                  <c:v>6.2</c:v>
                </c:pt>
                <c:pt idx="19">
                  <c:v>7.2</c:v>
                </c:pt>
                <c:pt idx="20">
                  <c:v>6</c:v>
                </c:pt>
                <c:pt idx="21">
                  <c:v>7</c:v>
                </c:pt>
                <c:pt idx="22">
                  <c:v>6.8</c:v>
                </c:pt>
                <c:pt idx="23">
                  <c:v>6</c:v>
                </c:pt>
                <c:pt idx="24">
                  <c:v>6</c:v>
                </c:pt>
                <c:pt idx="25">
                  <c:v>6.1</c:v>
                </c:pt>
                <c:pt idx="26">
                  <c:v>5.8</c:v>
                </c:pt>
                <c:pt idx="27">
                  <c:v>5.9</c:v>
                </c:pt>
                <c:pt idx="28">
                  <c:v>5.4</c:v>
                </c:pt>
                <c:pt idx="29">
                  <c:v>5.7</c:v>
                </c:pt>
                <c:pt idx="31">
                  <c:v>5.3</c:v>
                </c:pt>
                <c:pt idx="32">
                  <c:v>8.5</c:v>
                </c:pt>
                <c:pt idx="33">
                  <c:v>5.4</c:v>
                </c:pt>
                <c:pt idx="34">
                  <c:v>5</c:v>
                </c:pt>
                <c:pt idx="35">
                  <c:v>6.3</c:v>
                </c:pt>
                <c:pt idx="36">
                  <c:v>4.8</c:v>
                </c:pt>
                <c:pt idx="37">
                  <c:v>4.4000000000000004</c:v>
                </c:pt>
                <c:pt idx="38">
                  <c:v>5.8</c:v>
                </c:pt>
                <c:pt idx="39">
                  <c:v>4.7</c:v>
                </c:pt>
                <c:pt idx="40">
                  <c:v>6.2</c:v>
                </c:pt>
                <c:pt idx="41">
                  <c:v>6.9</c:v>
                </c:pt>
                <c:pt idx="43">
                  <c:v>-13.5</c:v>
                </c:pt>
                <c:pt idx="44">
                  <c:v>-1.1000000000000001</c:v>
                </c:pt>
                <c:pt idx="45">
                  <c:v>3.9</c:v>
                </c:pt>
                <c:pt idx="46">
                  <c:v>4.4000000000000004</c:v>
                </c:pt>
                <c:pt idx="47">
                  <c:v>4.8</c:v>
                </c:pt>
                <c:pt idx="48">
                  <c:v>4.8</c:v>
                </c:pt>
                <c:pt idx="49">
                  <c:v>5.6</c:v>
                </c:pt>
                <c:pt idx="50">
                  <c:v>6.9</c:v>
                </c:pt>
                <c:pt idx="51">
                  <c:v>6.9</c:v>
                </c:pt>
                <c:pt idx="52">
                  <c:v>7</c:v>
                </c:pt>
                <c:pt idx="53">
                  <c:v>7.3</c:v>
                </c:pt>
                <c:pt idx="55">
                  <c:v>35.1</c:v>
                </c:pt>
                <c:pt idx="56">
                  <c:v>14.1</c:v>
                </c:pt>
                <c:pt idx="57">
                  <c:v>9.8000000000000007</c:v>
                </c:pt>
                <c:pt idx="58">
                  <c:v>8.8000000000000007</c:v>
                </c:pt>
                <c:pt idx="59">
                  <c:v>8.3000000000000007</c:v>
                </c:pt>
                <c:pt idx="60">
                  <c:v>6.4</c:v>
                </c:pt>
                <c:pt idx="61">
                  <c:v>5.3</c:v>
                </c:pt>
                <c:pt idx="62">
                  <c:v>3.1</c:v>
                </c:pt>
                <c:pt idx="63">
                  <c:v>3.5</c:v>
                </c:pt>
                <c:pt idx="64">
                  <c:v>3.8</c:v>
                </c:pt>
                <c:pt idx="65">
                  <c:v>4.3</c:v>
                </c:pt>
                <c:pt idx="67">
                  <c:v>7.5</c:v>
                </c:pt>
                <c:pt idx="68">
                  <c:v>5</c:v>
                </c:pt>
                <c:pt idx="69">
                  <c:v>-2.9</c:v>
                </c:pt>
                <c:pt idx="70">
                  <c:v>0.7</c:v>
                </c:pt>
                <c:pt idx="71">
                  <c:v>3.9</c:v>
                </c:pt>
                <c:pt idx="72">
                  <c:v>3.8</c:v>
                </c:pt>
                <c:pt idx="73">
                  <c:v>4.2</c:v>
                </c:pt>
                <c:pt idx="74">
                  <c:v>6.3</c:v>
                </c:pt>
                <c:pt idx="75">
                  <c:v>5</c:v>
                </c:pt>
                <c:pt idx="76">
                  <c:v>2.2000000000000002</c:v>
                </c:pt>
                <c:pt idx="77">
                  <c:v>1.3</c:v>
                </c:pt>
                <c:pt idx="79">
                  <c:v>2.4</c:v>
                </c:pt>
                <c:pt idx="80">
                  <c:v>3.9</c:v>
                </c:pt>
                <c:pt idx="81">
                  <c:v>5.6</c:v>
                </c:pt>
                <c:pt idx="82">
                  <c:v>3.5</c:v>
                </c:pt>
                <c:pt idx="83">
                  <c:v>4.4000000000000004</c:v>
                </c:pt>
                <c:pt idx="84">
                  <c:v>3.7</c:v>
                </c:pt>
                <c:pt idx="85">
                  <c:v>4.5</c:v>
                </c:pt>
                <c:pt idx="86">
                  <c:v>4.5</c:v>
                </c:pt>
                <c:pt idx="87">
                  <c:v>4.5999999999999996</c:v>
                </c:pt>
                <c:pt idx="88">
                  <c:v>6.6</c:v>
                </c:pt>
                <c:pt idx="89">
                  <c:v>6.8</c:v>
                </c:pt>
                <c:pt idx="91">
                  <c:v>7</c:v>
                </c:pt>
                <c:pt idx="92">
                  <c:v>4.5</c:v>
                </c:pt>
                <c:pt idx="93">
                  <c:v>6.7</c:v>
                </c:pt>
                <c:pt idx="94">
                  <c:v>5.6</c:v>
                </c:pt>
                <c:pt idx="95">
                  <c:v>5.3</c:v>
                </c:pt>
                <c:pt idx="96">
                  <c:v>5.0999999999999996</c:v>
                </c:pt>
                <c:pt idx="97">
                  <c:v>4.5</c:v>
                </c:pt>
                <c:pt idx="98">
                  <c:v>5.4</c:v>
                </c:pt>
                <c:pt idx="99">
                  <c:v>5.3</c:v>
                </c:pt>
                <c:pt idx="100">
                  <c:v>5.4</c:v>
                </c:pt>
                <c:pt idx="101">
                  <c:v>6.2</c:v>
                </c:pt>
                <c:pt idx="103">
                  <c:v>5.9</c:v>
                </c:pt>
                <c:pt idx="104">
                  <c:v>7.7</c:v>
                </c:pt>
                <c:pt idx="105">
                  <c:v>6.1</c:v>
                </c:pt>
                <c:pt idx="106">
                  <c:v>5.8</c:v>
                </c:pt>
                <c:pt idx="107">
                  <c:v>6.8</c:v>
                </c:pt>
                <c:pt idx="108">
                  <c:v>5.7</c:v>
                </c:pt>
                <c:pt idx="109">
                  <c:v>5.2</c:v>
                </c:pt>
                <c:pt idx="110">
                  <c:v>6.5</c:v>
                </c:pt>
                <c:pt idx="111">
                  <c:v>4.9000000000000004</c:v>
                </c:pt>
                <c:pt idx="112">
                  <c:v>4.8</c:v>
                </c:pt>
                <c:pt idx="113">
                  <c:v>5.2</c:v>
                </c:pt>
                <c:pt idx="115">
                  <c:v>6.3</c:v>
                </c:pt>
                <c:pt idx="116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C-4AA9-A0E0-0224AFDB4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077600"/>
        <c:axId val="660078080"/>
      </c:lineChart>
      <c:lineChart>
        <c:grouping val="standard"/>
        <c:varyColors val="0"/>
        <c:ser>
          <c:idx val="1"/>
          <c:order val="1"/>
          <c:tx>
            <c:strRef>
              <c:f>IAV_YOY_M!$D$1</c:f>
              <c:strCache>
                <c:ptCount val="1"/>
                <c:pt idx="0">
                  <c:v> factor_value_level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IAV_YOY_M!$B$2:$B$118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IAV_YOY_M!$D$2:$D$118</c:f>
              <c:numCache>
                <c:formatCode>_(* #,##0.00_);_(* \(#,##0.00\);_(* "-"??_);_(@_)</c:formatCode>
                <c:ptCount val="117"/>
                <c:pt idx="0">
                  <c:v>-0.19964927547585101</c:v>
                </c:pt>
                <c:pt idx="1">
                  <c:v>0.376078782364625</c:v>
                </c:pt>
                <c:pt idx="2">
                  <c:v>-5.9572821351645801E-2</c:v>
                </c:pt>
                <c:pt idx="3">
                  <c:v>-5.0095414905311698E-2</c:v>
                </c:pt>
                <c:pt idx="4">
                  <c:v>0.15131791789007401</c:v>
                </c:pt>
                <c:pt idx="5">
                  <c:v>-0.27172374360696999</c:v>
                </c:pt>
                <c:pt idx="6">
                  <c:v>7.8033344344364403E-2</c:v>
                </c:pt>
                <c:pt idx="7">
                  <c:v>0.37369257475951001</c:v>
                </c:pt>
                <c:pt idx="8">
                  <c:v>3</c:v>
                </c:pt>
                <c:pt idx="9">
                  <c:v>0.126812511079508</c:v>
                </c:pt>
                <c:pt idx="10">
                  <c:v>8.6989317977917993E-2</c:v>
                </c:pt>
                <c:pt idx="11">
                  <c:v>2.1508808560339299</c:v>
                </c:pt>
                <c:pt idx="12">
                  <c:v>-0.52864302125415896</c:v>
                </c:pt>
                <c:pt idx="13">
                  <c:v>-1.19434667314934</c:v>
                </c:pt>
                <c:pt idx="14">
                  <c:v>9.4565359788797695E-2</c:v>
                </c:pt>
                <c:pt idx="15">
                  <c:v>-0.67923222226907398</c:v>
                </c:pt>
                <c:pt idx="16">
                  <c:v>-0.76660910173325902</c:v>
                </c:pt>
                <c:pt idx="17">
                  <c:v>-0.46219190662056697</c:v>
                </c:pt>
                <c:pt idx="18">
                  <c:v>0.54778426370154998</c:v>
                </c:pt>
                <c:pt idx="19">
                  <c:v>1.5264437722692801</c:v>
                </c:pt>
                <c:pt idx="20">
                  <c:v>-1.1188844010974399</c:v>
                </c:pt>
                <c:pt idx="21">
                  <c:v>1.02441435800229</c:v>
                </c:pt>
                <c:pt idx="22">
                  <c:v>0.39330986711580601</c:v>
                </c:pt>
                <c:pt idx="23">
                  <c:v>-1.3388108958465501</c:v>
                </c:pt>
                <c:pt idx="24">
                  <c:v>-1.0848548104636699</c:v>
                </c:pt>
                <c:pt idx="25">
                  <c:v>-0.706012423294888</c:v>
                </c:pt>
                <c:pt idx="26">
                  <c:v>-1.18924757630953</c:v>
                </c:pt>
                <c:pt idx="27">
                  <c:v>-0.81045149360448199</c:v>
                </c:pt>
                <c:pt idx="28">
                  <c:v>-1.7189449447645599</c:v>
                </c:pt>
                <c:pt idx="29">
                  <c:v>-0.778058828627059</c:v>
                </c:pt>
                <c:pt idx="30">
                  <c:v>-1.0273669134888099</c:v>
                </c:pt>
                <c:pt idx="31">
                  <c:v>-1.24012556886096</c:v>
                </c:pt>
                <c:pt idx="32">
                  <c:v>3</c:v>
                </c:pt>
                <c:pt idx="33">
                  <c:v>-1.35749364080923</c:v>
                </c:pt>
                <c:pt idx="34">
                  <c:v>-1.6777423623446699</c:v>
                </c:pt>
                <c:pt idx="35">
                  <c:v>0.51453500172455202</c:v>
                </c:pt>
                <c:pt idx="36">
                  <c:v>-1.6800195220116301</c:v>
                </c:pt>
                <c:pt idx="37">
                  <c:v>-1.8686819501952701</c:v>
                </c:pt>
                <c:pt idx="38">
                  <c:v>0.38131174695022302</c:v>
                </c:pt>
                <c:pt idx="39">
                  <c:v>-1.0985184707064599</c:v>
                </c:pt>
                <c:pt idx="40">
                  <c:v>1.0556213050880201</c:v>
                </c:pt>
                <c:pt idx="41">
                  <c:v>1.76348808435444</c:v>
                </c:pt>
                <c:pt idx="42">
                  <c:v>-3</c:v>
                </c:pt>
                <c:pt idx="43">
                  <c:v>-3</c:v>
                </c:pt>
                <c:pt idx="44">
                  <c:v>-0.56932924662006001</c:v>
                </c:pt>
                <c:pt idx="45">
                  <c:v>1.0648037039924201</c:v>
                </c:pt>
                <c:pt idx="46">
                  <c:v>1.0546837508395699</c:v>
                </c:pt>
                <c:pt idx="47">
                  <c:v>1.01124790195307</c:v>
                </c:pt>
                <c:pt idx="48">
                  <c:v>0.86939739395119697</c:v>
                </c:pt>
                <c:pt idx="49">
                  <c:v>0.96571535156263899</c:v>
                </c:pt>
                <c:pt idx="50">
                  <c:v>1.1708058455677499</c:v>
                </c:pt>
                <c:pt idx="51">
                  <c:v>0.970427847056065</c:v>
                </c:pt>
                <c:pt idx="52">
                  <c:v>0.83227665633113201</c:v>
                </c:pt>
                <c:pt idx="53">
                  <c:v>0.770859820534048</c:v>
                </c:pt>
                <c:pt idx="54">
                  <c:v>3</c:v>
                </c:pt>
                <c:pt idx="55">
                  <c:v>3</c:v>
                </c:pt>
                <c:pt idx="56">
                  <c:v>0.20384811788871099</c:v>
                </c:pt>
                <c:pt idx="57">
                  <c:v>-0.522328727797993</c:v>
                </c:pt>
                <c:pt idx="58">
                  <c:v>-0.60521480892602597</c:v>
                </c:pt>
                <c:pt idx="59">
                  <c:v>-0.59414995265614801</c:v>
                </c:pt>
                <c:pt idx="60">
                  <c:v>-0.79828394044250395</c:v>
                </c:pt>
                <c:pt idx="61">
                  <c:v>-0.83687860369616596</c:v>
                </c:pt>
                <c:pt idx="62">
                  <c:v>-1.02579822832579</c:v>
                </c:pt>
                <c:pt idx="63">
                  <c:v>-0.78605496811526898</c:v>
                </c:pt>
                <c:pt idx="64">
                  <c:v>-0.60617940496427103</c:v>
                </c:pt>
                <c:pt idx="65">
                  <c:v>-0.43158034981078303</c:v>
                </c:pt>
                <c:pt idx="66">
                  <c:v>-0.127387766105268</c:v>
                </c:pt>
                <c:pt idx="67">
                  <c:v>0.121851731534056</c:v>
                </c:pt>
                <c:pt idx="68">
                  <c:v>-0.267027474549139</c:v>
                </c:pt>
                <c:pt idx="69">
                  <c:v>-1.3549525863761001</c:v>
                </c:pt>
                <c:pt idx="70">
                  <c:v>-0.57786286173169799</c:v>
                </c:pt>
                <c:pt idx="71">
                  <c:v>-2.0414698021779899E-2</c:v>
                </c:pt>
                <c:pt idx="72">
                  <c:v>-2.1959843376081999E-2</c:v>
                </c:pt>
                <c:pt idx="73">
                  <c:v>4.1537903410731401E-2</c:v>
                </c:pt>
                <c:pt idx="74">
                  <c:v>0.33119574465706703</c:v>
                </c:pt>
                <c:pt idx="75">
                  <c:v>9.5371834230566499E-2</c:v>
                </c:pt>
                <c:pt idx="76">
                  <c:v>-0.31357353347250599</c:v>
                </c:pt>
                <c:pt idx="77">
                  <c:v>-0.37566878425962702</c:v>
                </c:pt>
                <c:pt idx="78">
                  <c:v>-0.218664679446233</c:v>
                </c:pt>
                <c:pt idx="79">
                  <c:v>-0.130812548210999</c:v>
                </c:pt>
                <c:pt idx="80">
                  <c:v>4.5263348034588299E-2</c:v>
                </c:pt>
                <c:pt idx="81">
                  <c:v>0.28725834762921398</c:v>
                </c:pt>
                <c:pt idx="82">
                  <c:v>-9.9253614026171694E-2</c:v>
                </c:pt>
                <c:pt idx="83">
                  <c:v>6.3686831349687306E-2</c:v>
                </c:pt>
                <c:pt idx="84">
                  <c:v>-5.6336602214059298E-2</c:v>
                </c:pt>
                <c:pt idx="85">
                  <c:v>8.5501001085296693E-2</c:v>
                </c:pt>
                <c:pt idx="86">
                  <c:v>7.7435380284708699E-2</c:v>
                </c:pt>
                <c:pt idx="87">
                  <c:v>9.2751950571673902E-2</c:v>
                </c:pt>
                <c:pt idx="88">
                  <c:v>0.413334638437657</c:v>
                </c:pt>
                <c:pt idx="89">
                  <c:v>0.384115120218814</c:v>
                </c:pt>
                <c:pt idx="90">
                  <c:v>0.34366002140332103</c:v>
                </c:pt>
                <c:pt idx="91">
                  <c:v>0.41445224829383298</c:v>
                </c:pt>
                <c:pt idx="92">
                  <c:v>7.7892212752219595E-2</c:v>
                </c:pt>
                <c:pt idx="93">
                  <c:v>0.96990827738204399</c:v>
                </c:pt>
                <c:pt idx="94">
                  <c:v>0.44519209882257899</c:v>
                </c:pt>
                <c:pt idx="95">
                  <c:v>0.30151091454725998</c:v>
                </c:pt>
                <c:pt idx="96">
                  <c:v>0.214112117368222</c:v>
                </c:pt>
                <c:pt idx="97">
                  <c:v>-2.5918072713577399E-2</c:v>
                </c:pt>
                <c:pt idx="98">
                  <c:v>0.33547106682945099</c:v>
                </c:pt>
                <c:pt idx="99">
                  <c:v>0.23693555548971301</c:v>
                </c:pt>
                <c:pt idx="100">
                  <c:v>0.23308825411852499</c:v>
                </c:pt>
                <c:pt idx="101">
                  <c:v>0.54843789086282302</c:v>
                </c:pt>
                <c:pt idx="102">
                  <c:v>0.37738297980607999</c:v>
                </c:pt>
                <c:pt idx="103">
                  <c:v>0.247773153399413</c:v>
                </c:pt>
                <c:pt idx="104">
                  <c:v>1.0652971380693901</c:v>
                </c:pt>
                <c:pt idx="105">
                  <c:v>0.123954234778707</c:v>
                </c:pt>
                <c:pt idx="106">
                  <c:v>-0.21610601249682801</c:v>
                </c:pt>
                <c:pt idx="107">
                  <c:v>0.45792613550886402</c:v>
                </c:pt>
                <c:pt idx="108">
                  <c:v>-0.53621905737406395</c:v>
                </c:pt>
                <c:pt idx="109">
                  <c:v>-0.88784521901992797</c:v>
                </c:pt>
                <c:pt idx="110">
                  <c:v>0.24393540937146499</c:v>
                </c:pt>
                <c:pt idx="111">
                  <c:v>-1.0698740105400399</c:v>
                </c:pt>
                <c:pt idx="112">
                  <c:v>-0.96820397857648699</c:v>
                </c:pt>
                <c:pt idx="113">
                  <c:v>-0.59014126820117996</c:v>
                </c:pt>
                <c:pt idx="114">
                  <c:v>-0.14916987702054901</c:v>
                </c:pt>
                <c:pt idx="115">
                  <c:v>0.29927686667738301</c:v>
                </c:pt>
                <c:pt idx="116">
                  <c:v>-0.456839445006189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CC-4AA9-A0E0-0224AFDB4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042560"/>
        <c:axId val="660040640"/>
      </c:lineChart>
      <c:dateAx>
        <c:axId val="660077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078080"/>
        <c:crosses val="autoZero"/>
        <c:auto val="1"/>
        <c:lblOffset val="100"/>
        <c:baseTimeUnit val="months"/>
      </c:dateAx>
      <c:valAx>
        <c:axId val="66007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077600"/>
        <c:crosses val="autoZero"/>
        <c:crossBetween val="between"/>
      </c:valAx>
      <c:valAx>
        <c:axId val="660040640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042560"/>
        <c:crosses val="max"/>
        <c:crossBetween val="between"/>
      </c:valAx>
      <c:dateAx>
        <c:axId val="6600425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004064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PPI_YOY_M</a:t>
            </a:r>
            <a:r>
              <a:rPr lang="en-US" altLang="zh-CN" baseline="0"/>
              <a:t> Raw VS. Factor_value_level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PPI_YOY_M!$C$1</c:f>
              <c:strCache>
                <c:ptCount val="1"/>
                <c:pt idx="0">
                  <c:v>raw_data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PPI_YOY_M!$B$2:$B$118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PPI_YOY_M!$C$2:$C$118</c:f>
              <c:numCache>
                <c:formatCode>General</c:formatCode>
                <c:ptCount val="117"/>
                <c:pt idx="0">
                  <c:v>-1.7</c:v>
                </c:pt>
                <c:pt idx="1">
                  <c:v>-0.8</c:v>
                </c:pt>
                <c:pt idx="2">
                  <c:v>0.1</c:v>
                </c:pt>
                <c:pt idx="3">
                  <c:v>1.2</c:v>
                </c:pt>
                <c:pt idx="4">
                  <c:v>3.3</c:v>
                </c:pt>
                <c:pt idx="5">
                  <c:v>5.5</c:v>
                </c:pt>
                <c:pt idx="6">
                  <c:v>6.9</c:v>
                </c:pt>
                <c:pt idx="7">
                  <c:v>7.8</c:v>
                </c:pt>
                <c:pt idx="8">
                  <c:v>7.6</c:v>
                </c:pt>
                <c:pt idx="9">
                  <c:v>6.4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6.3</c:v>
                </c:pt>
                <c:pt idx="14">
                  <c:v>6.9</c:v>
                </c:pt>
                <c:pt idx="15">
                  <c:v>6.9</c:v>
                </c:pt>
                <c:pt idx="16">
                  <c:v>5.8</c:v>
                </c:pt>
                <c:pt idx="17">
                  <c:v>4.9000000000000004</c:v>
                </c:pt>
                <c:pt idx="18">
                  <c:v>4.3</c:v>
                </c:pt>
                <c:pt idx="19">
                  <c:v>3.7</c:v>
                </c:pt>
                <c:pt idx="20">
                  <c:v>3.1</c:v>
                </c:pt>
                <c:pt idx="21">
                  <c:v>3.4</c:v>
                </c:pt>
                <c:pt idx="22">
                  <c:v>4.0999999999999996</c:v>
                </c:pt>
                <c:pt idx="23">
                  <c:v>4.7</c:v>
                </c:pt>
                <c:pt idx="24">
                  <c:v>4.5999999999999996</c:v>
                </c:pt>
                <c:pt idx="25">
                  <c:v>4.0999999999999996</c:v>
                </c:pt>
                <c:pt idx="26">
                  <c:v>3.6</c:v>
                </c:pt>
                <c:pt idx="27">
                  <c:v>3.3</c:v>
                </c:pt>
                <c:pt idx="28">
                  <c:v>2.7</c:v>
                </c:pt>
                <c:pt idx="29">
                  <c:v>0.9</c:v>
                </c:pt>
                <c:pt idx="30">
                  <c:v>0.1</c:v>
                </c:pt>
                <c:pt idx="31">
                  <c:v>0.1</c:v>
                </c:pt>
                <c:pt idx="32">
                  <c:v>0.4</c:v>
                </c:pt>
                <c:pt idx="33">
                  <c:v>0.9</c:v>
                </c:pt>
                <c:pt idx="34">
                  <c:v>0.6</c:v>
                </c:pt>
                <c:pt idx="35">
                  <c:v>0</c:v>
                </c:pt>
                <c:pt idx="36">
                  <c:v>-0.3</c:v>
                </c:pt>
                <c:pt idx="37">
                  <c:v>-0.8</c:v>
                </c:pt>
                <c:pt idx="38">
                  <c:v>-1.2</c:v>
                </c:pt>
                <c:pt idx="39">
                  <c:v>-1.6</c:v>
                </c:pt>
                <c:pt idx="40">
                  <c:v>-1.4</c:v>
                </c:pt>
                <c:pt idx="41">
                  <c:v>-0.5</c:v>
                </c:pt>
                <c:pt idx="42">
                  <c:v>0.1</c:v>
                </c:pt>
                <c:pt idx="43">
                  <c:v>-0.4</c:v>
                </c:pt>
                <c:pt idx="44">
                  <c:v>-1.5</c:v>
                </c:pt>
                <c:pt idx="45">
                  <c:v>-3.1</c:v>
                </c:pt>
                <c:pt idx="46">
                  <c:v>-3.7</c:v>
                </c:pt>
                <c:pt idx="47">
                  <c:v>-3</c:v>
                </c:pt>
                <c:pt idx="48">
                  <c:v>-2.4</c:v>
                </c:pt>
                <c:pt idx="49">
                  <c:v>-2</c:v>
                </c:pt>
                <c:pt idx="50">
                  <c:v>-2.1</c:v>
                </c:pt>
                <c:pt idx="51">
                  <c:v>-2.1</c:v>
                </c:pt>
                <c:pt idx="52">
                  <c:v>-1.5</c:v>
                </c:pt>
                <c:pt idx="53">
                  <c:v>-0.4</c:v>
                </c:pt>
                <c:pt idx="54">
                  <c:v>0.3</c:v>
                </c:pt>
                <c:pt idx="55">
                  <c:v>1.7</c:v>
                </c:pt>
                <c:pt idx="56">
                  <c:v>4.4000000000000004</c:v>
                </c:pt>
                <c:pt idx="57">
                  <c:v>6.8</c:v>
                </c:pt>
                <c:pt idx="58">
                  <c:v>9</c:v>
                </c:pt>
                <c:pt idx="59">
                  <c:v>8.8000000000000007</c:v>
                </c:pt>
                <c:pt idx="60">
                  <c:v>9</c:v>
                </c:pt>
                <c:pt idx="61">
                  <c:v>9.5</c:v>
                </c:pt>
                <c:pt idx="62">
                  <c:v>10.7</c:v>
                </c:pt>
                <c:pt idx="63">
                  <c:v>13.5</c:v>
                </c:pt>
                <c:pt idx="64">
                  <c:v>12.9</c:v>
                </c:pt>
                <c:pt idx="65">
                  <c:v>10.3</c:v>
                </c:pt>
                <c:pt idx="66">
                  <c:v>9.1</c:v>
                </c:pt>
                <c:pt idx="67">
                  <c:v>8.8000000000000007</c:v>
                </c:pt>
                <c:pt idx="68">
                  <c:v>8.3000000000000007</c:v>
                </c:pt>
                <c:pt idx="69">
                  <c:v>8</c:v>
                </c:pt>
                <c:pt idx="70">
                  <c:v>6.4</c:v>
                </c:pt>
                <c:pt idx="71">
                  <c:v>6.1</c:v>
                </c:pt>
                <c:pt idx="72">
                  <c:v>4.2</c:v>
                </c:pt>
                <c:pt idx="73">
                  <c:v>2.2999999999999998</c:v>
                </c:pt>
                <c:pt idx="74">
                  <c:v>0.9</c:v>
                </c:pt>
                <c:pt idx="75">
                  <c:v>-1.3</c:v>
                </c:pt>
                <c:pt idx="76">
                  <c:v>-1.3</c:v>
                </c:pt>
                <c:pt idx="77">
                  <c:v>-0.7</c:v>
                </c:pt>
                <c:pt idx="78">
                  <c:v>-0.8</c:v>
                </c:pt>
                <c:pt idx="79">
                  <c:v>-1.4</c:v>
                </c:pt>
                <c:pt idx="80">
                  <c:v>-2.5</c:v>
                </c:pt>
                <c:pt idx="81">
                  <c:v>-3.6</c:v>
                </c:pt>
                <c:pt idx="82">
                  <c:v>-4.5999999999999996</c:v>
                </c:pt>
                <c:pt idx="83">
                  <c:v>-5.4</c:v>
                </c:pt>
                <c:pt idx="84">
                  <c:v>-4.4000000000000004</c:v>
                </c:pt>
                <c:pt idx="85">
                  <c:v>-3</c:v>
                </c:pt>
                <c:pt idx="86">
                  <c:v>-2.5</c:v>
                </c:pt>
                <c:pt idx="87">
                  <c:v>-2.6</c:v>
                </c:pt>
                <c:pt idx="88">
                  <c:v>-3</c:v>
                </c:pt>
                <c:pt idx="89">
                  <c:v>-2.7</c:v>
                </c:pt>
                <c:pt idx="90">
                  <c:v>-2.5</c:v>
                </c:pt>
                <c:pt idx="91">
                  <c:v>-2.7</c:v>
                </c:pt>
                <c:pt idx="92">
                  <c:v>-2.8</c:v>
                </c:pt>
                <c:pt idx="93">
                  <c:v>-2.5</c:v>
                </c:pt>
                <c:pt idx="94">
                  <c:v>-1.4</c:v>
                </c:pt>
                <c:pt idx="95">
                  <c:v>-0.8</c:v>
                </c:pt>
                <c:pt idx="96">
                  <c:v>-0.8</c:v>
                </c:pt>
                <c:pt idx="97">
                  <c:v>-1.8</c:v>
                </c:pt>
                <c:pt idx="98">
                  <c:v>-2.8</c:v>
                </c:pt>
                <c:pt idx="99">
                  <c:v>-2.9</c:v>
                </c:pt>
                <c:pt idx="100">
                  <c:v>-2.5</c:v>
                </c:pt>
                <c:pt idx="101">
                  <c:v>-2.2999999999999998</c:v>
                </c:pt>
                <c:pt idx="102">
                  <c:v>-2.2999999999999998</c:v>
                </c:pt>
                <c:pt idx="103">
                  <c:v>-2.2000000000000002</c:v>
                </c:pt>
                <c:pt idx="104">
                  <c:v>-2.5</c:v>
                </c:pt>
                <c:pt idx="105">
                  <c:v>-2.7</c:v>
                </c:pt>
                <c:pt idx="106">
                  <c:v>-3.3</c:v>
                </c:pt>
                <c:pt idx="107">
                  <c:v>-3.6</c:v>
                </c:pt>
                <c:pt idx="108">
                  <c:v>-3.6</c:v>
                </c:pt>
                <c:pt idx="109">
                  <c:v>-2.9</c:v>
                </c:pt>
                <c:pt idx="110">
                  <c:v>-2.2999999999999998</c:v>
                </c:pt>
                <c:pt idx="111">
                  <c:v>-2.1</c:v>
                </c:pt>
                <c:pt idx="112">
                  <c:v>-2.2000000000000002</c:v>
                </c:pt>
                <c:pt idx="113">
                  <c:v>-1.9</c:v>
                </c:pt>
                <c:pt idx="114">
                  <c:v>-1.4</c:v>
                </c:pt>
                <c:pt idx="115">
                  <c:v>-0.9</c:v>
                </c:pt>
                <c:pt idx="11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7-4366-97DC-3457F4CD2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940288"/>
        <c:axId val="833952768"/>
      </c:lineChart>
      <c:lineChart>
        <c:grouping val="standard"/>
        <c:varyColors val="0"/>
        <c:ser>
          <c:idx val="1"/>
          <c:order val="1"/>
          <c:tx>
            <c:strRef>
              <c:f>PPI_YOY_M!$D$1</c:f>
              <c:strCache>
                <c:ptCount val="1"/>
                <c:pt idx="0">
                  <c:v> factor_value_level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PPI_YOY_M!$B$2:$B$118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PPI_YOY_M!$D$2:$D$118</c:f>
              <c:numCache>
                <c:formatCode>_(* #,##0.00_);_(* \(#,##0.00\);_(* "-"??_);_(@_)</c:formatCode>
                <c:ptCount val="117"/>
                <c:pt idx="0">
                  <c:v>2.2674572794969001</c:v>
                </c:pt>
                <c:pt idx="1">
                  <c:v>2.3586611366650199</c:v>
                </c:pt>
                <c:pt idx="2">
                  <c:v>2.3373662006108198</c:v>
                </c:pt>
                <c:pt idx="3">
                  <c:v>2.3970815660635401</c:v>
                </c:pt>
                <c:pt idx="4">
                  <c:v>2.9655318564216899</c:v>
                </c:pt>
                <c:pt idx="5">
                  <c:v>3</c:v>
                </c:pt>
                <c:pt idx="6">
                  <c:v>2.7342380992603501</c:v>
                </c:pt>
                <c:pt idx="7">
                  <c:v>2.25742729908302</c:v>
                </c:pt>
                <c:pt idx="8">
                  <c:v>1.5478226261116601</c:v>
                </c:pt>
                <c:pt idx="9">
                  <c:v>0.70591154158806302</c:v>
                </c:pt>
                <c:pt idx="10">
                  <c:v>0.15676339681522</c:v>
                </c:pt>
                <c:pt idx="11">
                  <c:v>2.9706949782351201E-2</c:v>
                </c:pt>
                <c:pt idx="12">
                  <c:v>-7.7864559915966303E-2</c:v>
                </c:pt>
                <c:pt idx="13">
                  <c:v>0.13722674963671899</c:v>
                </c:pt>
                <c:pt idx="14">
                  <c:v>0.241244238956973</c:v>
                </c:pt>
                <c:pt idx="15">
                  <c:v>9.1884236133051897E-2</c:v>
                </c:pt>
                <c:pt idx="16">
                  <c:v>-0.47523561613669901</c:v>
                </c:pt>
                <c:pt idx="17">
                  <c:v>-0.87032053911212603</c:v>
                </c:pt>
                <c:pt idx="18">
                  <c:v>-1.0698109500586299</c:v>
                </c:pt>
                <c:pt idx="19">
                  <c:v>-1.2134891766801099</c:v>
                </c:pt>
                <c:pt idx="20">
                  <c:v>-1.32329667342137</c:v>
                </c:pt>
                <c:pt idx="21">
                  <c:v>-1.0463989836704599</c:v>
                </c:pt>
                <c:pt idx="22">
                  <c:v>-0.67675242542514102</c:v>
                </c:pt>
                <c:pt idx="23">
                  <c:v>-0.41952327281518598</c:v>
                </c:pt>
                <c:pt idx="24">
                  <c:v>-0.477960148213743</c:v>
                </c:pt>
                <c:pt idx="25">
                  <c:v>-0.68770330766530197</c:v>
                </c:pt>
                <c:pt idx="26">
                  <c:v>-0.87379147382150901</c:v>
                </c:pt>
                <c:pt idx="27">
                  <c:v>-0.95323062916480195</c:v>
                </c:pt>
                <c:pt idx="28">
                  <c:v>-1.1359272521278601</c:v>
                </c:pt>
                <c:pt idx="29">
                  <c:v>-1.7480323851258299</c:v>
                </c:pt>
                <c:pt idx="30">
                  <c:v>-1.82038194312815</c:v>
                </c:pt>
                <c:pt idx="31">
                  <c:v>-1.54690297729145</c:v>
                </c:pt>
                <c:pt idx="32">
                  <c:v>-1.2229611200797801</c:v>
                </c:pt>
                <c:pt idx="33">
                  <c:v>-0.89287230428277498</c:v>
                </c:pt>
                <c:pt idx="34">
                  <c:v>-0.89693371346817796</c:v>
                </c:pt>
                <c:pt idx="35">
                  <c:v>-0.99133827291616095</c:v>
                </c:pt>
                <c:pt idx="36">
                  <c:v>-0.95507807491403995</c:v>
                </c:pt>
                <c:pt idx="37">
                  <c:v>-0.98187665940226099</c:v>
                </c:pt>
                <c:pt idx="38">
                  <c:v>-0.95972439978997803</c:v>
                </c:pt>
                <c:pt idx="39">
                  <c:v>-0.93318962676563699</c:v>
                </c:pt>
                <c:pt idx="40">
                  <c:v>-0.70268104675310505</c:v>
                </c:pt>
                <c:pt idx="41">
                  <c:v>-0.25822389920545902</c:v>
                </c:pt>
                <c:pt idx="42">
                  <c:v>5.3313059853930499E-2</c:v>
                </c:pt>
                <c:pt idx="43">
                  <c:v>-8.2592227224136894E-2</c:v>
                </c:pt>
                <c:pt idx="44">
                  <c:v>-0.52301559744093196</c:v>
                </c:pt>
                <c:pt idx="45">
                  <c:v>-1.31734473807338</c:v>
                </c:pt>
                <c:pt idx="46">
                  <c:v>-1.4161207136421501</c:v>
                </c:pt>
                <c:pt idx="47">
                  <c:v>-0.60340026947606296</c:v>
                </c:pt>
                <c:pt idx="48">
                  <c:v>3.9266874312450899E-2</c:v>
                </c:pt>
                <c:pt idx="49">
                  <c:v>0.47972735038800401</c:v>
                </c:pt>
                <c:pt idx="50">
                  <c:v>0.540171838514105</c:v>
                </c:pt>
                <c:pt idx="51">
                  <c:v>0.73178475782251196</c:v>
                </c:pt>
                <c:pt idx="52">
                  <c:v>1.53514996703025</c:v>
                </c:pt>
                <c:pt idx="53">
                  <c:v>2.6213445442883998</c:v>
                </c:pt>
                <c:pt idx="54">
                  <c:v>2.8319887775217198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2.6900039024259499</c:v>
                </c:pt>
                <c:pt idx="60">
                  <c:v>2.1085049508492602</c:v>
                </c:pt>
                <c:pt idx="61">
                  <c:v>1.8099198182954299</c:v>
                </c:pt>
                <c:pt idx="62">
                  <c:v>1.8036412811088101</c:v>
                </c:pt>
                <c:pt idx="63">
                  <c:v>2.2650570201814699</c:v>
                </c:pt>
                <c:pt idx="64">
                  <c:v>1.54254970462481</c:v>
                </c:pt>
                <c:pt idx="65">
                  <c:v>0.460054227018872</c:v>
                </c:pt>
                <c:pt idx="66">
                  <c:v>-2.1700565090993801E-2</c:v>
                </c:pt>
                <c:pt idx="67">
                  <c:v>-0.178925580044898</c:v>
                </c:pt>
                <c:pt idx="68">
                  <c:v>-0.373996391970842</c:v>
                </c:pt>
                <c:pt idx="69">
                  <c:v>-0.47559670180483499</c:v>
                </c:pt>
                <c:pt idx="70">
                  <c:v>-0.94503263099818402</c:v>
                </c:pt>
                <c:pt idx="71">
                  <c:v>-0.93426908455971103</c:v>
                </c:pt>
                <c:pt idx="72">
                  <c:v>-1.4082747021611901</c:v>
                </c:pt>
                <c:pt idx="73">
                  <c:v>-1.76709991558202</c:v>
                </c:pt>
                <c:pt idx="74">
                  <c:v>-1.8725138501534899</c:v>
                </c:pt>
                <c:pt idx="75">
                  <c:v>-2.14696816095057</c:v>
                </c:pt>
                <c:pt idx="76">
                  <c:v>-1.72663721533499</c:v>
                </c:pt>
                <c:pt idx="77">
                  <c:v>-1.2602260265910701</c:v>
                </c:pt>
                <c:pt idx="78">
                  <c:v>-1.0678046265716701</c:v>
                </c:pt>
                <c:pt idx="79">
                  <c:v>-1.0291582451641601</c:v>
                </c:pt>
                <c:pt idx="80">
                  <c:v>-1.11521903362701</c:v>
                </c:pt>
                <c:pt idx="81">
                  <c:v>-1.1825339981213301</c:v>
                </c:pt>
                <c:pt idx="82">
                  <c:v>-1.2179512963769401</c:v>
                </c:pt>
                <c:pt idx="83">
                  <c:v>-1.1952073446579601</c:v>
                </c:pt>
                <c:pt idx="84">
                  <c:v>-0.753233447922532</c:v>
                </c:pt>
                <c:pt idx="85">
                  <c:v>-0.306228046012545</c:v>
                </c:pt>
                <c:pt idx="86">
                  <c:v>-0.140547158592565</c:v>
                </c:pt>
                <c:pt idx="87">
                  <c:v>-0.13881714144695301</c:v>
                </c:pt>
                <c:pt idx="88">
                  <c:v>-0.20391698447419099</c:v>
                </c:pt>
                <c:pt idx="89">
                  <c:v>-9.5973929406148101E-2</c:v>
                </c:pt>
                <c:pt idx="90">
                  <c:v>-2.2163209470430101E-2</c:v>
                </c:pt>
                <c:pt idx="91">
                  <c:v>-4.6287450923389498E-2</c:v>
                </c:pt>
                <c:pt idx="92">
                  <c:v>-3.44242655159442E-2</c:v>
                </c:pt>
                <c:pt idx="93">
                  <c:v>8.6102379803520604E-2</c:v>
                </c:pt>
                <c:pt idx="94">
                  <c:v>0.40478657324714501</c:v>
                </c:pt>
                <c:pt idx="95">
                  <c:v>0.59475425733514697</c:v>
                </c:pt>
                <c:pt idx="96">
                  <c:v>0.60110374156631996</c:v>
                </c:pt>
                <c:pt idx="97">
                  <c:v>0.32536164040669202</c:v>
                </c:pt>
                <c:pt idx="98">
                  <c:v>8.48594870014754E-2</c:v>
                </c:pt>
                <c:pt idx="99">
                  <c:v>0.16437629546673599</c:v>
                </c:pt>
                <c:pt idx="100">
                  <c:v>0.47309032743061302</c:v>
                </c:pt>
                <c:pt idx="101">
                  <c:v>0.71097607193971901</c:v>
                </c:pt>
                <c:pt idx="102">
                  <c:v>0.77462336580340097</c:v>
                </c:pt>
                <c:pt idx="103">
                  <c:v>0.84312208118146004</c:v>
                </c:pt>
                <c:pt idx="104">
                  <c:v>0.71873725429526003</c:v>
                </c:pt>
                <c:pt idx="105">
                  <c:v>0.65228612459607704</c:v>
                </c:pt>
                <c:pt idx="106">
                  <c:v>0.41998894996126401</c:v>
                </c:pt>
                <c:pt idx="107">
                  <c:v>0.34123617968405701</c:v>
                </c:pt>
                <c:pt idx="108">
                  <c:v>0.40516698262371598</c:v>
                </c:pt>
                <c:pt idx="109">
                  <c:v>0.74487084815634397</c:v>
                </c:pt>
                <c:pt idx="110">
                  <c:v>0.97504692502691204</c:v>
                </c:pt>
                <c:pt idx="111">
                  <c:v>0.98605739850072105</c:v>
                </c:pt>
                <c:pt idx="112">
                  <c:v>0.87062469764411499</c:v>
                </c:pt>
                <c:pt idx="113">
                  <c:v>0.96777343476266497</c:v>
                </c:pt>
                <c:pt idx="114">
                  <c:v>1.1451757884309499</c:v>
                </c:pt>
                <c:pt idx="115">
                  <c:v>1.2822855182878501</c:v>
                </c:pt>
                <c:pt idx="116">
                  <c:v>1.9138549174217001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D7-4366-97DC-3457F4CD2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936928"/>
        <c:axId val="833949408"/>
      </c:lineChart>
      <c:dateAx>
        <c:axId val="833940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952768"/>
        <c:crosses val="autoZero"/>
        <c:auto val="1"/>
        <c:lblOffset val="100"/>
        <c:baseTimeUnit val="months"/>
      </c:dateAx>
      <c:valAx>
        <c:axId val="83395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940288"/>
        <c:crosses val="autoZero"/>
        <c:crossBetween val="between"/>
      </c:valAx>
      <c:valAx>
        <c:axId val="833949408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936928"/>
        <c:crosses val="max"/>
        <c:crossBetween val="between"/>
      </c:valAx>
      <c:dateAx>
        <c:axId val="8339369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3394940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CPI_YOY_M Raw VS. Factor_value_level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CPI_YOY_M!$C$1</c:f>
              <c:strCache>
                <c:ptCount val="1"/>
                <c:pt idx="0">
                  <c:v>raw_data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CPI_YOY_M!$B$2:$B$118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CPI_YOY_M!$C$2:$C$118</c:f>
              <c:numCache>
                <c:formatCode>_(* #,##0.00_);_(* \(#,##0.00\);_(* "-"??_);_(@_)</c:formatCode>
                <c:ptCount val="117"/>
                <c:pt idx="0">
                  <c:v>1.7651129999999999</c:v>
                </c:pt>
                <c:pt idx="1">
                  <c:v>1.3397730000000001</c:v>
                </c:pt>
                <c:pt idx="2">
                  <c:v>1.920226</c:v>
                </c:pt>
                <c:pt idx="3">
                  <c:v>2.0959469999999998</c:v>
                </c:pt>
                <c:pt idx="4">
                  <c:v>2.2522579999999999</c:v>
                </c:pt>
                <c:pt idx="5">
                  <c:v>2.0765449999999999</c:v>
                </c:pt>
                <c:pt idx="6">
                  <c:v>2.5490550000000001</c:v>
                </c:pt>
                <c:pt idx="7">
                  <c:v>0.8</c:v>
                </c:pt>
                <c:pt idx="8">
                  <c:v>0.9</c:v>
                </c:pt>
                <c:pt idx="9">
                  <c:v>1.2</c:v>
                </c:pt>
                <c:pt idx="10">
                  <c:v>1.5</c:v>
                </c:pt>
                <c:pt idx="11">
                  <c:v>1.5</c:v>
                </c:pt>
                <c:pt idx="12">
                  <c:v>1.4</c:v>
                </c:pt>
                <c:pt idx="13">
                  <c:v>1.8</c:v>
                </c:pt>
                <c:pt idx="14">
                  <c:v>1.6</c:v>
                </c:pt>
                <c:pt idx="15">
                  <c:v>1.9</c:v>
                </c:pt>
                <c:pt idx="16">
                  <c:v>1.7</c:v>
                </c:pt>
                <c:pt idx="17">
                  <c:v>1.8</c:v>
                </c:pt>
                <c:pt idx="18">
                  <c:v>1.5</c:v>
                </c:pt>
                <c:pt idx="19">
                  <c:v>2.9</c:v>
                </c:pt>
                <c:pt idx="20">
                  <c:v>2.1</c:v>
                </c:pt>
                <c:pt idx="21">
                  <c:v>1.8</c:v>
                </c:pt>
                <c:pt idx="22">
                  <c:v>1.8</c:v>
                </c:pt>
                <c:pt idx="23">
                  <c:v>1.9</c:v>
                </c:pt>
                <c:pt idx="24">
                  <c:v>2.1</c:v>
                </c:pt>
                <c:pt idx="25">
                  <c:v>2.2999999999999998</c:v>
                </c:pt>
                <c:pt idx="26">
                  <c:v>2.5</c:v>
                </c:pt>
                <c:pt idx="27">
                  <c:v>2.5</c:v>
                </c:pt>
                <c:pt idx="28">
                  <c:v>2.2000000000000002</c:v>
                </c:pt>
                <c:pt idx="29">
                  <c:v>1.9</c:v>
                </c:pt>
                <c:pt idx="30">
                  <c:v>1.7</c:v>
                </c:pt>
                <c:pt idx="31">
                  <c:v>1.5</c:v>
                </c:pt>
                <c:pt idx="32">
                  <c:v>2.2999999999999998</c:v>
                </c:pt>
                <c:pt idx="33">
                  <c:v>2.5</c:v>
                </c:pt>
                <c:pt idx="34">
                  <c:v>2.7</c:v>
                </c:pt>
                <c:pt idx="35">
                  <c:v>2.7</c:v>
                </c:pt>
                <c:pt idx="36">
                  <c:v>2.8</c:v>
                </c:pt>
                <c:pt idx="37">
                  <c:v>2.8</c:v>
                </c:pt>
                <c:pt idx="38">
                  <c:v>3</c:v>
                </c:pt>
                <c:pt idx="39">
                  <c:v>3.8</c:v>
                </c:pt>
                <c:pt idx="40">
                  <c:v>4.5</c:v>
                </c:pt>
                <c:pt idx="41">
                  <c:v>4.5</c:v>
                </c:pt>
                <c:pt idx="42">
                  <c:v>5.4</c:v>
                </c:pt>
                <c:pt idx="43">
                  <c:v>5.2</c:v>
                </c:pt>
                <c:pt idx="44">
                  <c:v>4.3</c:v>
                </c:pt>
                <c:pt idx="45">
                  <c:v>3.3</c:v>
                </c:pt>
                <c:pt idx="46">
                  <c:v>2.4</c:v>
                </c:pt>
                <c:pt idx="47">
                  <c:v>2.5</c:v>
                </c:pt>
                <c:pt idx="48">
                  <c:v>2.7</c:v>
                </c:pt>
                <c:pt idx="49">
                  <c:v>2.4</c:v>
                </c:pt>
                <c:pt idx="50">
                  <c:v>1.7</c:v>
                </c:pt>
                <c:pt idx="51">
                  <c:v>0.5</c:v>
                </c:pt>
                <c:pt idx="52">
                  <c:v>-0.5</c:v>
                </c:pt>
                <c:pt idx="53">
                  <c:v>0.2</c:v>
                </c:pt>
                <c:pt idx="54">
                  <c:v>-0.3</c:v>
                </c:pt>
                <c:pt idx="55">
                  <c:v>-0.2</c:v>
                </c:pt>
                <c:pt idx="56">
                  <c:v>0.4</c:v>
                </c:pt>
                <c:pt idx="57">
                  <c:v>0.9</c:v>
                </c:pt>
                <c:pt idx="58">
                  <c:v>1.3</c:v>
                </c:pt>
                <c:pt idx="59">
                  <c:v>1.1000000000000001</c:v>
                </c:pt>
                <c:pt idx="60">
                  <c:v>1</c:v>
                </c:pt>
                <c:pt idx="61">
                  <c:v>0.8</c:v>
                </c:pt>
                <c:pt idx="62">
                  <c:v>0.7</c:v>
                </c:pt>
                <c:pt idx="63">
                  <c:v>1.5</c:v>
                </c:pt>
                <c:pt idx="64">
                  <c:v>2.2999999999999998</c:v>
                </c:pt>
                <c:pt idx="65">
                  <c:v>1.5</c:v>
                </c:pt>
                <c:pt idx="66">
                  <c:v>0.9</c:v>
                </c:pt>
                <c:pt idx="67">
                  <c:v>0.9</c:v>
                </c:pt>
                <c:pt idx="68">
                  <c:v>1.5</c:v>
                </c:pt>
                <c:pt idx="69">
                  <c:v>2.1</c:v>
                </c:pt>
                <c:pt idx="70">
                  <c:v>2.1</c:v>
                </c:pt>
                <c:pt idx="71">
                  <c:v>2.5</c:v>
                </c:pt>
                <c:pt idx="72">
                  <c:v>2.7</c:v>
                </c:pt>
                <c:pt idx="73">
                  <c:v>2.5</c:v>
                </c:pt>
                <c:pt idx="74">
                  <c:v>2.8</c:v>
                </c:pt>
                <c:pt idx="75">
                  <c:v>2.1</c:v>
                </c:pt>
                <c:pt idx="76">
                  <c:v>1.6</c:v>
                </c:pt>
                <c:pt idx="77">
                  <c:v>1.8</c:v>
                </c:pt>
                <c:pt idx="78">
                  <c:v>2.1</c:v>
                </c:pt>
                <c:pt idx="79">
                  <c:v>1</c:v>
                </c:pt>
                <c:pt idx="80">
                  <c:v>0.7</c:v>
                </c:pt>
                <c:pt idx="81">
                  <c:v>0.1</c:v>
                </c:pt>
                <c:pt idx="82">
                  <c:v>0.2</c:v>
                </c:pt>
                <c:pt idx="83">
                  <c:v>0</c:v>
                </c:pt>
                <c:pt idx="84">
                  <c:v>-0.3</c:v>
                </c:pt>
                <c:pt idx="85">
                  <c:v>0.1</c:v>
                </c:pt>
                <c:pt idx="86">
                  <c:v>0</c:v>
                </c:pt>
                <c:pt idx="87">
                  <c:v>-0.2</c:v>
                </c:pt>
                <c:pt idx="88">
                  <c:v>-0.5</c:v>
                </c:pt>
                <c:pt idx="89">
                  <c:v>-0.3</c:v>
                </c:pt>
                <c:pt idx="90">
                  <c:v>-0.8</c:v>
                </c:pt>
                <c:pt idx="91">
                  <c:v>0.7</c:v>
                </c:pt>
                <c:pt idx="92">
                  <c:v>0.1</c:v>
                </c:pt>
                <c:pt idx="93">
                  <c:v>0.3</c:v>
                </c:pt>
                <c:pt idx="94">
                  <c:v>0.3</c:v>
                </c:pt>
                <c:pt idx="95">
                  <c:v>0.2</c:v>
                </c:pt>
                <c:pt idx="96">
                  <c:v>0.5</c:v>
                </c:pt>
                <c:pt idx="97">
                  <c:v>0.6</c:v>
                </c:pt>
                <c:pt idx="98">
                  <c:v>0.4</c:v>
                </c:pt>
                <c:pt idx="99">
                  <c:v>0.3</c:v>
                </c:pt>
                <c:pt idx="100">
                  <c:v>0.2</c:v>
                </c:pt>
                <c:pt idx="101">
                  <c:v>0.1</c:v>
                </c:pt>
                <c:pt idx="102">
                  <c:v>0.5</c:v>
                </c:pt>
                <c:pt idx="103">
                  <c:v>-0.7</c:v>
                </c:pt>
                <c:pt idx="104">
                  <c:v>-0.1</c:v>
                </c:pt>
                <c:pt idx="105">
                  <c:v>-0.1</c:v>
                </c:pt>
                <c:pt idx="106">
                  <c:v>-0.1</c:v>
                </c:pt>
                <c:pt idx="107">
                  <c:v>0.1</c:v>
                </c:pt>
                <c:pt idx="108">
                  <c:v>0</c:v>
                </c:pt>
                <c:pt idx="109">
                  <c:v>-0.4</c:v>
                </c:pt>
                <c:pt idx="110">
                  <c:v>-0.3</c:v>
                </c:pt>
                <c:pt idx="111">
                  <c:v>0.2</c:v>
                </c:pt>
                <c:pt idx="112">
                  <c:v>0.7</c:v>
                </c:pt>
                <c:pt idx="113">
                  <c:v>0.8</c:v>
                </c:pt>
                <c:pt idx="114">
                  <c:v>0.2</c:v>
                </c:pt>
                <c:pt idx="115">
                  <c:v>1.3</c:v>
                </c:pt>
                <c:pt idx="1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2-40A4-8211-29D711F6D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045920"/>
        <c:axId val="660047840"/>
      </c:lineChart>
      <c:lineChart>
        <c:grouping val="standard"/>
        <c:varyColors val="0"/>
        <c:ser>
          <c:idx val="1"/>
          <c:order val="1"/>
          <c:tx>
            <c:strRef>
              <c:f>CPI_YOY_M!$D$1</c:f>
              <c:strCache>
                <c:ptCount val="1"/>
                <c:pt idx="0">
                  <c:v> factor_value_level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CPI_YOY_M!$B$2:$B$118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CPI_YOY_M!$D$2:$D$118</c:f>
              <c:numCache>
                <c:formatCode>_(* #,##0.00_);_(* \(#,##0.00\);_(* "-"??_);_(@_)</c:formatCode>
                <c:ptCount val="117"/>
                <c:pt idx="0">
                  <c:v>-0.24853428142564099</c:v>
                </c:pt>
                <c:pt idx="1">
                  <c:v>-1.63343324632871</c:v>
                </c:pt>
                <c:pt idx="2">
                  <c:v>0.62932765699665405</c:v>
                </c:pt>
                <c:pt idx="3">
                  <c:v>1.10252517703303</c:v>
                </c:pt>
                <c:pt idx="4">
                  <c:v>1.40093365336456</c:v>
                </c:pt>
                <c:pt idx="5">
                  <c:v>0.54027115276139004</c:v>
                </c:pt>
                <c:pt idx="6">
                  <c:v>1.9759960721899601</c:v>
                </c:pt>
                <c:pt idx="7">
                  <c:v>-3</c:v>
                </c:pt>
                <c:pt idx="8">
                  <c:v>-2.3064265168897098</c:v>
                </c:pt>
                <c:pt idx="9">
                  <c:v>-1.04029732269041</c:v>
                </c:pt>
                <c:pt idx="10">
                  <c:v>-0.13730526136124599</c:v>
                </c:pt>
                <c:pt idx="11">
                  <c:v>-9.4294798246506495E-2</c:v>
                </c:pt>
                <c:pt idx="12">
                  <c:v>-0.29668177580011701</c:v>
                </c:pt>
                <c:pt idx="13">
                  <c:v>0.74651056990975195</c:v>
                </c:pt>
                <c:pt idx="14">
                  <c:v>0.14664642717245299</c:v>
                </c:pt>
                <c:pt idx="15">
                  <c:v>0.88588916791665995</c:v>
                </c:pt>
                <c:pt idx="16">
                  <c:v>0.246512778019323</c:v>
                </c:pt>
                <c:pt idx="17">
                  <c:v>0.47210861426462902</c:v>
                </c:pt>
                <c:pt idx="18">
                  <c:v>-0.36206965574368999</c:v>
                </c:pt>
                <c:pt idx="19">
                  <c:v>3</c:v>
                </c:pt>
                <c:pt idx="20">
                  <c:v>0.58678140328473505</c:v>
                </c:pt>
                <c:pt idx="21">
                  <c:v>-0.19675240216823001</c:v>
                </c:pt>
                <c:pt idx="22">
                  <c:v>-0.15071189538552501</c:v>
                </c:pt>
                <c:pt idx="23">
                  <c:v>9.3687900197473695E-2</c:v>
                </c:pt>
                <c:pt idx="24">
                  <c:v>0.52868594551361603</c:v>
                </c:pt>
                <c:pt idx="25">
                  <c:v>0.89617382953101898</c:v>
                </c:pt>
                <c:pt idx="26">
                  <c:v>1.2197791934248201</c:v>
                </c:pt>
                <c:pt idx="27">
                  <c:v>0.97348923676545895</c:v>
                </c:pt>
                <c:pt idx="28">
                  <c:v>8.3903281709722194E-2</c:v>
                </c:pt>
                <c:pt idx="29">
                  <c:v>-0.65647065704747498</c:v>
                </c:pt>
                <c:pt idx="30">
                  <c:v>-1.03649010593035</c:v>
                </c:pt>
                <c:pt idx="31">
                  <c:v>-1.3191406377116199</c:v>
                </c:pt>
                <c:pt idx="32">
                  <c:v>0.72282889615199097</c:v>
                </c:pt>
                <c:pt idx="33">
                  <c:v>1.0494457987355199</c:v>
                </c:pt>
                <c:pt idx="34">
                  <c:v>1.3014783237191401</c:v>
                </c:pt>
                <c:pt idx="35">
                  <c:v>1.0244743492972599</c:v>
                </c:pt>
                <c:pt idx="36">
                  <c:v>1.01083949496678</c:v>
                </c:pt>
                <c:pt idx="37">
                  <c:v>0.783686375833761</c:v>
                </c:pt>
                <c:pt idx="38">
                  <c:v>1.0179860274342201</c:v>
                </c:pt>
                <c:pt idx="39">
                  <c:v>2.49131069609136</c:v>
                </c:pt>
                <c:pt idx="40">
                  <c:v>3</c:v>
                </c:pt>
                <c:pt idx="41">
                  <c:v>2.3067313857855001</c:v>
                </c:pt>
                <c:pt idx="42">
                  <c:v>3</c:v>
                </c:pt>
                <c:pt idx="43">
                  <c:v>1.9800161075388101</c:v>
                </c:pt>
                <c:pt idx="44">
                  <c:v>0.206884167946636</c:v>
                </c:pt>
                <c:pt idx="45">
                  <c:v>-1.5088460065161999</c:v>
                </c:pt>
                <c:pt idx="46">
                  <c:v>-2.7439075103905601</c:v>
                </c:pt>
                <c:pt idx="47">
                  <c:v>-2.0185512189553299</c:v>
                </c:pt>
                <c:pt idx="48">
                  <c:v>-1.3952818679419701</c:v>
                </c:pt>
                <c:pt idx="49">
                  <c:v>-1.59799910749219</c:v>
                </c:pt>
                <c:pt idx="50">
                  <c:v>-2.2159054171430101</c:v>
                </c:pt>
                <c:pt idx="51">
                  <c:v>-3</c:v>
                </c:pt>
                <c:pt idx="52">
                  <c:v>-3</c:v>
                </c:pt>
                <c:pt idx="53">
                  <c:v>-1.80445410832844</c:v>
                </c:pt>
                <c:pt idx="54">
                  <c:v>-1.86173768443254</c:v>
                </c:pt>
                <c:pt idx="55">
                  <c:v>-1.37918073873743</c:v>
                </c:pt>
                <c:pt idx="56">
                  <c:v>-0.58760304723762802</c:v>
                </c:pt>
                <c:pt idx="57">
                  <c:v>-4.2536614674755502E-2</c:v>
                </c:pt>
                <c:pt idx="58">
                  <c:v>0.315883798912382</c:v>
                </c:pt>
                <c:pt idx="59">
                  <c:v>0.113044976429517</c:v>
                </c:pt>
                <c:pt idx="60">
                  <c:v>3.1348038999740403E-2</c:v>
                </c:pt>
                <c:pt idx="61">
                  <c:v>-0.11375478025796899</c:v>
                </c:pt>
                <c:pt idx="62">
                  <c:v>-0.14497803994470501</c:v>
                </c:pt>
                <c:pt idx="63">
                  <c:v>0.58607244414333404</c:v>
                </c:pt>
                <c:pt idx="64">
                  <c:v>1.1858171890614599</c:v>
                </c:pt>
                <c:pt idx="65">
                  <c:v>0.32778954592355197</c:v>
                </c:pt>
                <c:pt idx="66">
                  <c:v>-0.20435869385204</c:v>
                </c:pt>
                <c:pt idx="67">
                  <c:v>-0.15475446753120101</c:v>
                </c:pt>
                <c:pt idx="68">
                  <c:v>0.37348993474023401</c:v>
                </c:pt>
                <c:pt idx="69">
                  <c:v>0.82539557851326095</c:v>
                </c:pt>
                <c:pt idx="70">
                  <c:v>0.70341667343340697</c:v>
                </c:pt>
                <c:pt idx="71">
                  <c:v>0.93261958381075505</c:v>
                </c:pt>
                <c:pt idx="72">
                  <c:v>0.94820886347447197</c:v>
                </c:pt>
                <c:pt idx="73">
                  <c:v>0.63786818493895903</c:v>
                </c:pt>
                <c:pt idx="74">
                  <c:v>0.78365442436055399</c:v>
                </c:pt>
                <c:pt idx="75">
                  <c:v>0.109637663755739</c:v>
                </c:pt>
                <c:pt idx="76">
                  <c:v>-0.27086136894455498</c:v>
                </c:pt>
                <c:pt idx="77">
                  <c:v>-2.9527820178561598E-3</c:v>
                </c:pt>
                <c:pt idx="78">
                  <c:v>0.320687081801526</c:v>
                </c:pt>
                <c:pt idx="79">
                  <c:v>-0.63854266431159501</c:v>
                </c:pt>
                <c:pt idx="80">
                  <c:v>-0.74076859050042898</c:v>
                </c:pt>
                <c:pt idx="81">
                  <c:v>-1.1107842253367399</c:v>
                </c:pt>
                <c:pt idx="82">
                  <c:v>-0.74525627060638999</c:v>
                </c:pt>
                <c:pt idx="83">
                  <c:v>-0.76538606035565804</c:v>
                </c:pt>
                <c:pt idx="84">
                  <c:v>-0.86475348329096502</c:v>
                </c:pt>
                <c:pt idx="85">
                  <c:v>-0.270140173867148</c:v>
                </c:pt>
                <c:pt idx="86">
                  <c:v>-0.26297189338836702</c:v>
                </c:pt>
                <c:pt idx="87">
                  <c:v>-0.371122576401687</c:v>
                </c:pt>
                <c:pt idx="88">
                  <c:v>-0.61452563040108099</c:v>
                </c:pt>
                <c:pt idx="89">
                  <c:v>-0.35648906814069298</c:v>
                </c:pt>
                <c:pt idx="90">
                  <c:v>-0.89044525221873805</c:v>
                </c:pt>
                <c:pt idx="91">
                  <c:v>1.0983562164926</c:v>
                </c:pt>
                <c:pt idx="92">
                  <c:v>0.15095662340622701</c:v>
                </c:pt>
                <c:pt idx="93">
                  <c:v>0.40133617075080402</c:v>
                </c:pt>
                <c:pt idx="94">
                  <c:v>0.36058493541085201</c:v>
                </c:pt>
                <c:pt idx="95">
                  <c:v>0.21131221674596201</c:v>
                </c:pt>
                <c:pt idx="96">
                  <c:v>0.60359080559433298</c:v>
                </c:pt>
                <c:pt idx="97">
                  <c:v>0.65631346398868895</c:v>
                </c:pt>
                <c:pt idx="98">
                  <c:v>0.300822202379466</c:v>
                </c:pt>
                <c:pt idx="99">
                  <c:v>0.135950722752052</c:v>
                </c:pt>
                <c:pt idx="100">
                  <c:v>2.9090294309590099E-2</c:v>
                </c:pt>
                <c:pt idx="101">
                  <c:v>-3.1296123871026399E-2</c:v>
                </c:pt>
                <c:pt idx="102">
                  <c:v>0.57830634525106595</c:v>
                </c:pt>
                <c:pt idx="103">
                  <c:v>-1.14552186678331</c:v>
                </c:pt>
                <c:pt idx="104">
                  <c:v>-8.2528116475312996E-2</c:v>
                </c:pt>
                <c:pt idx="105">
                  <c:v>-9.8938418026248507E-3</c:v>
                </c:pt>
                <c:pt idx="106">
                  <c:v>7.7140194519070004E-2</c:v>
                </c:pt>
                <c:pt idx="107">
                  <c:v>0.443929058708736</c:v>
                </c:pt>
                <c:pt idx="108">
                  <c:v>0.34398672090904497</c:v>
                </c:pt>
                <c:pt idx="109">
                  <c:v>-0.21464809160183801</c:v>
                </c:pt>
                <c:pt idx="110">
                  <c:v>0.11443023993656</c:v>
                </c:pt>
                <c:pt idx="111">
                  <c:v>1.1586180440310101</c:v>
                </c:pt>
                <c:pt idx="112">
                  <c:v>1.95528860893654</c:v>
                </c:pt>
                <c:pt idx="113">
                  <c:v>1.78561142896755</c:v>
                </c:pt>
                <c:pt idx="114">
                  <c:v>0.51896363795151701</c:v>
                </c:pt>
                <c:pt idx="115">
                  <c:v>2.32269607066439</c:v>
                </c:pt>
                <c:pt idx="116">
                  <c:v>1.3863324673355299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2-40A4-8211-29D711F6D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969568"/>
        <c:axId val="833968608"/>
      </c:lineChart>
      <c:dateAx>
        <c:axId val="6600459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047840"/>
        <c:crosses val="autoZero"/>
        <c:auto val="1"/>
        <c:lblOffset val="100"/>
        <c:baseTimeUnit val="months"/>
      </c:dateAx>
      <c:valAx>
        <c:axId val="66004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045920"/>
        <c:crosses val="autoZero"/>
        <c:crossBetween val="between"/>
      </c:valAx>
      <c:valAx>
        <c:axId val="833968608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969568"/>
        <c:crosses val="max"/>
        <c:crossBetween val="between"/>
      </c:valAx>
      <c:dateAx>
        <c:axId val="8339695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3396860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NHCCI_D Raw VS. Factor_value_level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NHCCI_D!$C$1</c:f>
              <c:strCache>
                <c:ptCount val="1"/>
                <c:pt idx="0">
                  <c:v>raw_data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NHCCI_D!$B$2:$B$119</c:f>
              <c:numCache>
                <c:formatCode>m/d/yyyy</c:formatCode>
                <c:ptCount val="118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NHCCI_D!$C$2:$C$119</c:f>
              <c:numCache>
                <c:formatCode>_(* #,##0.00_);_(* \(#,##0.00\);_(* "-"??_);_(@_)</c:formatCode>
                <c:ptCount val="118"/>
                <c:pt idx="0">
                  <c:v>0.46266214047625542</c:v>
                </c:pt>
                <c:pt idx="1">
                  <c:v>-0.47158448681601239</c:v>
                </c:pt>
                <c:pt idx="2">
                  <c:v>2.6883872469164682</c:v>
                </c:pt>
                <c:pt idx="3">
                  <c:v>10.05865129223209</c:v>
                </c:pt>
                <c:pt idx="4">
                  <c:v>8.9449711306410773</c:v>
                </c:pt>
                <c:pt idx="5">
                  <c:v>-1.3691794751604758</c:v>
                </c:pt>
                <c:pt idx="6">
                  <c:v>7.831639301537674</c:v>
                </c:pt>
                <c:pt idx="7">
                  <c:v>-1.1615425626443909</c:v>
                </c:pt>
                <c:pt idx="8">
                  <c:v>-4.165677749728502</c:v>
                </c:pt>
                <c:pt idx="9">
                  <c:v>-2.8780703795150409</c:v>
                </c:pt>
                <c:pt idx="10">
                  <c:v>-5.466951025391376</c:v>
                </c:pt>
                <c:pt idx="11">
                  <c:v>5.7749368557859615</c:v>
                </c:pt>
                <c:pt idx="12">
                  <c:v>7.0546505517603775</c:v>
                </c:pt>
                <c:pt idx="13">
                  <c:v>5.2492907827015989</c:v>
                </c:pt>
                <c:pt idx="14">
                  <c:v>-7.564898323102776</c:v>
                </c:pt>
                <c:pt idx="15">
                  <c:v>-1.0127991096271605</c:v>
                </c:pt>
                <c:pt idx="16">
                  <c:v>5.7619368862903864</c:v>
                </c:pt>
                <c:pt idx="17">
                  <c:v>-0.27782305789634254</c:v>
                </c:pt>
                <c:pt idx="18">
                  <c:v>-0.30631462989942904</c:v>
                </c:pt>
                <c:pt idx="19">
                  <c:v>2.1137202902890229</c:v>
                </c:pt>
                <c:pt idx="20">
                  <c:v>-7.2871215241659071</c:v>
                </c:pt>
                <c:pt idx="21">
                  <c:v>2.0549544054638158</c:v>
                </c:pt>
                <c:pt idx="22">
                  <c:v>2.2297646277577021</c:v>
                </c:pt>
                <c:pt idx="23">
                  <c:v>2.5261273745580404E-2</c:v>
                </c:pt>
                <c:pt idx="24">
                  <c:v>1.6213641972190773</c:v>
                </c:pt>
                <c:pt idx="25">
                  <c:v>1.2553786727636851</c:v>
                </c:pt>
                <c:pt idx="26">
                  <c:v>0.5006942399124803</c:v>
                </c:pt>
                <c:pt idx="27">
                  <c:v>-9.7686231823490566E-3</c:v>
                </c:pt>
                <c:pt idx="28">
                  <c:v>-8.0801384488702119</c:v>
                </c:pt>
                <c:pt idx="29">
                  <c:v>0.59063337458149512</c:v>
                </c:pt>
                <c:pt idx="30">
                  <c:v>6.8173070391921442</c:v>
                </c:pt>
                <c:pt idx="31">
                  <c:v>1.5346135910805803</c:v>
                </c:pt>
                <c:pt idx="32">
                  <c:v>-1.5385578890234175</c:v>
                </c:pt>
                <c:pt idx="33">
                  <c:v>2.8234213223082172</c:v>
                </c:pt>
                <c:pt idx="34">
                  <c:v>-4.3301945150875376E-2</c:v>
                </c:pt>
                <c:pt idx="35">
                  <c:v>2.1447186560955123</c:v>
                </c:pt>
                <c:pt idx="36">
                  <c:v>0.552017556851081</c:v>
                </c:pt>
                <c:pt idx="37">
                  <c:v>-2.1785413012332278</c:v>
                </c:pt>
                <c:pt idx="38">
                  <c:v>0.6262319316688636</c:v>
                </c:pt>
                <c:pt idx="39">
                  <c:v>-0.50670965196868423</c:v>
                </c:pt>
                <c:pt idx="40">
                  <c:v>0.71300638492775015</c:v>
                </c:pt>
                <c:pt idx="41">
                  <c:v>3.9524860003393947</c:v>
                </c:pt>
                <c:pt idx="42">
                  <c:v>-2.9331104552459131</c:v>
                </c:pt>
                <c:pt idx="43">
                  <c:v>-7.6243138521149501</c:v>
                </c:pt>
                <c:pt idx="44">
                  <c:v>-6.9158619886107164</c:v>
                </c:pt>
                <c:pt idx="45">
                  <c:v>3.2090749070995406</c:v>
                </c:pt>
                <c:pt idx="46">
                  <c:v>6.0844254777263185</c:v>
                </c:pt>
                <c:pt idx="47">
                  <c:v>1.3811680980893692</c:v>
                </c:pt>
                <c:pt idx="48">
                  <c:v>4.2054592739292573</c:v>
                </c:pt>
                <c:pt idx="49">
                  <c:v>3.0428666116574465</c:v>
                </c:pt>
                <c:pt idx="50">
                  <c:v>-6.3352871292327695</c:v>
                </c:pt>
                <c:pt idx="51">
                  <c:v>-0.22844969551719663</c:v>
                </c:pt>
                <c:pt idx="52">
                  <c:v>8.2669007901668081</c:v>
                </c:pt>
                <c:pt idx="53">
                  <c:v>6.7157546465989704</c:v>
                </c:pt>
                <c:pt idx="54">
                  <c:v>0.45775910806884479</c:v>
                </c:pt>
                <c:pt idx="55">
                  <c:v>10.686838124054464</c:v>
                </c:pt>
                <c:pt idx="56">
                  <c:v>-4.6760701984582598</c:v>
                </c:pt>
                <c:pt idx="57">
                  <c:v>6.7608412624672543</c:v>
                </c:pt>
                <c:pt idx="58">
                  <c:v>0.92884579225871455</c:v>
                </c:pt>
                <c:pt idx="59">
                  <c:v>1.4680051523893622</c:v>
                </c:pt>
                <c:pt idx="60">
                  <c:v>3.4154811364303983</c:v>
                </c:pt>
                <c:pt idx="61">
                  <c:v>-1.7794190004210231</c:v>
                </c:pt>
                <c:pt idx="62">
                  <c:v>4.4392800888269246</c:v>
                </c:pt>
                <c:pt idx="63">
                  <c:v>-1.9586512453580229</c:v>
                </c:pt>
                <c:pt idx="64">
                  <c:v>-4.8802138498007741</c:v>
                </c:pt>
                <c:pt idx="65">
                  <c:v>5.4895701878108438</c:v>
                </c:pt>
                <c:pt idx="66">
                  <c:v>7.4004634400116398</c:v>
                </c:pt>
                <c:pt idx="67">
                  <c:v>3.6537651518697034</c:v>
                </c:pt>
                <c:pt idx="68">
                  <c:v>10.487770739173818</c:v>
                </c:pt>
                <c:pt idx="69">
                  <c:v>1.663227151059421</c:v>
                </c:pt>
                <c:pt idx="70">
                  <c:v>0.99969852276151627</c:v>
                </c:pt>
                <c:pt idx="71">
                  <c:v>-8.2738336875452632</c:v>
                </c:pt>
                <c:pt idx="72">
                  <c:v>-4.7645494266139625</c:v>
                </c:pt>
                <c:pt idx="73">
                  <c:v>0.1535363475661855</c:v>
                </c:pt>
                <c:pt idx="74">
                  <c:v>1.0053268677017169</c:v>
                </c:pt>
                <c:pt idx="75">
                  <c:v>-3.5412697769310664</c:v>
                </c:pt>
                <c:pt idx="76">
                  <c:v>6.293422232182877</c:v>
                </c:pt>
                <c:pt idx="77">
                  <c:v>4.5731479651226481</c:v>
                </c:pt>
                <c:pt idx="78">
                  <c:v>1.0068636428553601</c:v>
                </c:pt>
                <c:pt idx="79">
                  <c:v>-0.82923360350657394</c:v>
                </c:pt>
                <c:pt idx="80">
                  <c:v>-1.5821762996448219</c:v>
                </c:pt>
                <c:pt idx="81">
                  <c:v>-4.1065889491086356</c:v>
                </c:pt>
                <c:pt idx="82">
                  <c:v>-5.1782207253241346</c:v>
                </c:pt>
                <c:pt idx="83">
                  <c:v>7.6657419729714515</c:v>
                </c:pt>
                <c:pt idx="84">
                  <c:v>6.4923421090427924</c:v>
                </c:pt>
                <c:pt idx="85">
                  <c:v>4.2651626614353289</c:v>
                </c:pt>
                <c:pt idx="86">
                  <c:v>1.2994088963451889</c:v>
                </c:pt>
                <c:pt idx="87">
                  <c:v>-1.9540999338314657</c:v>
                </c:pt>
                <c:pt idx="88">
                  <c:v>0.91364388016466069</c:v>
                </c:pt>
                <c:pt idx="89">
                  <c:v>-1.1177335586008308</c:v>
                </c:pt>
                <c:pt idx="90">
                  <c:v>-0.3844358838465789</c:v>
                </c:pt>
                <c:pt idx="91">
                  <c:v>0.24735375159807838</c:v>
                </c:pt>
                <c:pt idx="92">
                  <c:v>0.37625401502638933</c:v>
                </c:pt>
                <c:pt idx="93">
                  <c:v>5.8286214828815019</c:v>
                </c:pt>
                <c:pt idx="94">
                  <c:v>1.6818847847403617</c:v>
                </c:pt>
                <c:pt idx="95">
                  <c:v>-2.8981893649943857</c:v>
                </c:pt>
                <c:pt idx="96">
                  <c:v>-5.1865809725924912</c:v>
                </c:pt>
                <c:pt idx="97">
                  <c:v>-1.5078679161870778</c:v>
                </c:pt>
                <c:pt idx="98">
                  <c:v>4.5977104453349682</c:v>
                </c:pt>
                <c:pt idx="99">
                  <c:v>-1.4064414865444852</c:v>
                </c:pt>
                <c:pt idx="100">
                  <c:v>-1.0841904254026091</c:v>
                </c:pt>
                <c:pt idx="101">
                  <c:v>-1.0374052579837034</c:v>
                </c:pt>
                <c:pt idx="102">
                  <c:v>2.5435915512703966</c:v>
                </c:pt>
                <c:pt idx="103">
                  <c:v>-0.27539385227169921</c:v>
                </c:pt>
                <c:pt idx="104">
                  <c:v>-0.72661893047961668</c:v>
                </c:pt>
                <c:pt idx="105">
                  <c:v>-5.0091344199939218</c:v>
                </c:pt>
                <c:pt idx="106">
                  <c:v>-2.3980028412159071</c:v>
                </c:pt>
                <c:pt idx="107">
                  <c:v>4.0260630125676045</c:v>
                </c:pt>
                <c:pt idx="108">
                  <c:v>3.7978308629499802</c:v>
                </c:pt>
                <c:pt idx="109">
                  <c:v>-0.62314750583338796</c:v>
                </c:pt>
                <c:pt idx="110">
                  <c:v>0.70637882687967224</c:v>
                </c:pt>
                <c:pt idx="111">
                  <c:v>-9.8459308736864593E-3</c:v>
                </c:pt>
                <c:pt idx="112">
                  <c:v>0.53448975331544801</c:v>
                </c:pt>
                <c:pt idx="113">
                  <c:v>3.0903762674147073</c:v>
                </c:pt>
                <c:pt idx="114">
                  <c:v>8.6146876852682297</c:v>
                </c:pt>
                <c:pt idx="115">
                  <c:v>-1.3201539538138518</c:v>
                </c:pt>
                <c:pt idx="116">
                  <c:v>9.018640059285099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7-4DFE-98B1-2761AA2F2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059360"/>
        <c:axId val="660059840"/>
      </c:lineChart>
      <c:lineChart>
        <c:grouping val="standard"/>
        <c:varyColors val="0"/>
        <c:ser>
          <c:idx val="1"/>
          <c:order val="1"/>
          <c:tx>
            <c:strRef>
              <c:f>NHCCI_D!$D$1</c:f>
              <c:strCache>
                <c:ptCount val="1"/>
                <c:pt idx="0">
                  <c:v> factor_value_level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NHCCI_D!$B$2:$B$119</c:f>
              <c:numCache>
                <c:formatCode>m/d/yyyy</c:formatCode>
                <c:ptCount val="118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NHCCI_D!$D$2:$D$119</c:f>
              <c:numCache>
                <c:formatCode>_(* #,##0.00_);_(* \(#,##0.00\);_(* "-"??_);_(@_)</c:formatCode>
                <c:ptCount val="118"/>
                <c:pt idx="0">
                  <c:v>2.06066619040041</c:v>
                </c:pt>
                <c:pt idx="1">
                  <c:v>1.83804295298355</c:v>
                </c:pt>
                <c:pt idx="2">
                  <c:v>1.1630213565426499</c:v>
                </c:pt>
                <c:pt idx="3">
                  <c:v>1.5463828741469201</c:v>
                </c:pt>
                <c:pt idx="4">
                  <c:v>3</c:v>
                </c:pt>
                <c:pt idx="5">
                  <c:v>2.6193396518263499</c:v>
                </c:pt>
                <c:pt idx="6">
                  <c:v>1.7908988503707901</c:v>
                </c:pt>
                <c:pt idx="7">
                  <c:v>1.7879343692308201</c:v>
                </c:pt>
                <c:pt idx="8">
                  <c:v>0.93747962194441103</c:v>
                </c:pt>
                <c:pt idx="9">
                  <c:v>0.158299209698716</c:v>
                </c:pt>
                <c:pt idx="10">
                  <c:v>-0.26025313858148902</c:v>
                </c:pt>
                <c:pt idx="11">
                  <c:v>-0.47895756643903498</c:v>
                </c:pt>
                <c:pt idx="12">
                  <c:v>0.33465043626730601</c:v>
                </c:pt>
                <c:pt idx="13">
                  <c:v>1.05738326809043</c:v>
                </c:pt>
                <c:pt idx="14">
                  <c:v>0.57792321231655197</c:v>
                </c:pt>
                <c:pt idx="15">
                  <c:v>-0.15351224840549099</c:v>
                </c:pt>
                <c:pt idx="16">
                  <c:v>0.113560195317832</c:v>
                </c:pt>
                <c:pt idx="17">
                  <c:v>0.12642870599424599</c:v>
                </c:pt>
                <c:pt idx="18">
                  <c:v>0.11815001294770899</c:v>
                </c:pt>
                <c:pt idx="19">
                  <c:v>-6.9590467970859604E-2</c:v>
                </c:pt>
                <c:pt idx="20">
                  <c:v>-0.66548648478259098</c:v>
                </c:pt>
                <c:pt idx="21">
                  <c:v>-0.81648858465775997</c:v>
                </c:pt>
                <c:pt idx="22">
                  <c:v>-0.465329192509294</c:v>
                </c:pt>
                <c:pt idx="23">
                  <c:v>-0.44808581491340699</c:v>
                </c:pt>
                <c:pt idx="24">
                  <c:v>-0.57070034767451305</c:v>
                </c:pt>
                <c:pt idx="25">
                  <c:v>5.8610572283546103E-2</c:v>
                </c:pt>
                <c:pt idx="26">
                  <c:v>-0.22345182816108899</c:v>
                </c:pt>
                <c:pt idx="27">
                  <c:v>-5.1392078145837102E-3</c:v>
                </c:pt>
                <c:pt idx="28">
                  <c:v>-1.13187345475225</c:v>
                </c:pt>
                <c:pt idx="29">
                  <c:v>-1.3987551306628001</c:v>
                </c:pt>
                <c:pt idx="30">
                  <c:v>-0.96946173134147995</c:v>
                </c:pt>
                <c:pt idx="31">
                  <c:v>-0.47896217045180101</c:v>
                </c:pt>
                <c:pt idx="32">
                  <c:v>-0.61058573925057602</c:v>
                </c:pt>
                <c:pt idx="33">
                  <c:v>-0.32156811120507101</c:v>
                </c:pt>
                <c:pt idx="34">
                  <c:v>-0.33024053750033999</c:v>
                </c:pt>
                <c:pt idx="35">
                  <c:v>-0.53464232244156695</c:v>
                </c:pt>
                <c:pt idx="36">
                  <c:v>-0.144688594848736</c:v>
                </c:pt>
                <c:pt idx="37">
                  <c:v>-0.73984474972242897</c:v>
                </c:pt>
                <c:pt idx="38">
                  <c:v>-0.35204775841410002</c:v>
                </c:pt>
                <c:pt idx="39">
                  <c:v>-0.70639070903222201</c:v>
                </c:pt>
                <c:pt idx="40">
                  <c:v>-0.66609751758550795</c:v>
                </c:pt>
                <c:pt idx="41">
                  <c:v>-6.02524837851195E-2</c:v>
                </c:pt>
                <c:pt idx="42">
                  <c:v>6.5348814447360598E-2</c:v>
                </c:pt>
                <c:pt idx="43">
                  <c:v>-1.66486136032051</c:v>
                </c:pt>
                <c:pt idx="44">
                  <c:v>-3</c:v>
                </c:pt>
                <c:pt idx="45">
                  <c:v>-3</c:v>
                </c:pt>
                <c:pt idx="46">
                  <c:v>-1.5319846365655601</c:v>
                </c:pt>
                <c:pt idx="47">
                  <c:v>-0.28086350238816099</c:v>
                </c:pt>
                <c:pt idx="48">
                  <c:v>0.309303208267039</c:v>
                </c:pt>
                <c:pt idx="49">
                  <c:v>0.71996415311991702</c:v>
                </c:pt>
                <c:pt idx="50">
                  <c:v>-1.0046689716318301E-2</c:v>
                </c:pt>
                <c:pt idx="51">
                  <c:v>-3.2787286229983101E-2</c:v>
                </c:pt>
                <c:pt idx="52">
                  <c:v>0.52713001646422597</c:v>
                </c:pt>
                <c:pt idx="53">
                  <c:v>2.7269334863240502</c:v>
                </c:pt>
                <c:pt idx="54">
                  <c:v>3</c:v>
                </c:pt>
                <c:pt idx="55">
                  <c:v>2.8794412794567301</c:v>
                </c:pt>
                <c:pt idx="56">
                  <c:v>2.6124870500563899</c:v>
                </c:pt>
                <c:pt idx="57">
                  <c:v>2.50255061382477</c:v>
                </c:pt>
                <c:pt idx="58">
                  <c:v>2.8336541703731402</c:v>
                </c:pt>
                <c:pt idx="59">
                  <c:v>2.0616204891805499</c:v>
                </c:pt>
                <c:pt idx="60">
                  <c:v>1.96110630289526</c:v>
                </c:pt>
                <c:pt idx="61">
                  <c:v>1.1329766461442501</c:v>
                </c:pt>
                <c:pt idx="62">
                  <c:v>1.2463413448371501</c:v>
                </c:pt>
                <c:pt idx="63">
                  <c:v>1.8794117705194799</c:v>
                </c:pt>
                <c:pt idx="64">
                  <c:v>0.121607169789024</c:v>
                </c:pt>
                <c:pt idx="65">
                  <c:v>0.18006464990886201</c:v>
                </c:pt>
                <c:pt idx="66">
                  <c:v>1.07835530363031</c:v>
                </c:pt>
                <c:pt idx="67">
                  <c:v>1.6267541164996</c:v>
                </c:pt>
                <c:pt idx="68">
                  <c:v>3</c:v>
                </c:pt>
                <c:pt idx="69">
                  <c:v>2.67641087286274</c:v>
                </c:pt>
                <c:pt idx="70">
                  <c:v>1.66066390896098</c:v>
                </c:pt>
                <c:pt idx="71">
                  <c:v>1.0109093899578301</c:v>
                </c:pt>
                <c:pt idx="72">
                  <c:v>-1.36061562597915</c:v>
                </c:pt>
                <c:pt idx="73">
                  <c:v>-0.62848621609542898</c:v>
                </c:pt>
                <c:pt idx="74">
                  <c:v>-0.70264432780007802</c:v>
                </c:pt>
                <c:pt idx="75">
                  <c:v>-0.62220344512175596</c:v>
                </c:pt>
                <c:pt idx="76">
                  <c:v>-0.32937685323534499</c:v>
                </c:pt>
                <c:pt idx="77">
                  <c:v>-9.4327728835416597E-2</c:v>
                </c:pt>
                <c:pt idx="78">
                  <c:v>9.7850667194553598E-2</c:v>
                </c:pt>
                <c:pt idx="79">
                  <c:v>3.1274992467713301E-3</c:v>
                </c:pt>
                <c:pt idx="80">
                  <c:v>-0.436472514601279</c:v>
                </c:pt>
                <c:pt idx="81">
                  <c:v>-0.70196669869955697</c:v>
                </c:pt>
                <c:pt idx="82">
                  <c:v>-1.8593645779038599</c:v>
                </c:pt>
                <c:pt idx="83">
                  <c:v>-1.3238062725286801</c:v>
                </c:pt>
                <c:pt idx="84">
                  <c:v>-0.25019792986059403</c:v>
                </c:pt>
                <c:pt idx="85">
                  <c:v>0.21262443975329301</c:v>
                </c:pt>
                <c:pt idx="86">
                  <c:v>0.87552662438439299</c:v>
                </c:pt>
                <c:pt idx="87">
                  <c:v>5.6058512706354598E-2</c:v>
                </c:pt>
                <c:pt idx="88">
                  <c:v>5.3371731629284702E-4</c:v>
                </c:pt>
                <c:pt idx="89">
                  <c:v>-0.39993490480499999</c:v>
                </c:pt>
                <c:pt idx="90">
                  <c:v>-0.65164047324471197</c:v>
                </c:pt>
                <c:pt idx="91">
                  <c:v>-0.78542179366959497</c:v>
                </c:pt>
                <c:pt idx="92">
                  <c:v>-0.54137356624219002</c:v>
                </c:pt>
                <c:pt idx="93">
                  <c:v>0.14727612239681601</c:v>
                </c:pt>
                <c:pt idx="94">
                  <c:v>0.47969991780482502</c:v>
                </c:pt>
                <c:pt idx="95">
                  <c:v>-0.28931266448499199</c:v>
                </c:pt>
                <c:pt idx="96">
                  <c:v>-0.88036058336195999</c:v>
                </c:pt>
                <c:pt idx="97">
                  <c:v>-2.10321956332771</c:v>
                </c:pt>
                <c:pt idx="98">
                  <c:v>-2.08041035509576</c:v>
                </c:pt>
                <c:pt idx="99">
                  <c:v>-0.72983566281327905</c:v>
                </c:pt>
                <c:pt idx="100">
                  <c:v>-0.86260573734226098</c:v>
                </c:pt>
                <c:pt idx="101">
                  <c:v>-1.02787296888212</c:v>
                </c:pt>
                <c:pt idx="102">
                  <c:v>-0.75718868122971095</c:v>
                </c:pt>
                <c:pt idx="103">
                  <c:v>-0.41195843974973601</c:v>
                </c:pt>
                <c:pt idx="104">
                  <c:v>-0.78453623851529797</c:v>
                </c:pt>
                <c:pt idx="105">
                  <c:v>-1.5084344978634201</c:v>
                </c:pt>
                <c:pt idx="106">
                  <c:v>-1.7657921267059</c:v>
                </c:pt>
                <c:pt idx="107">
                  <c:v>-1.19784882170643</c:v>
                </c:pt>
                <c:pt idx="108">
                  <c:v>-0.185288027708812</c:v>
                </c:pt>
                <c:pt idx="109">
                  <c:v>-0.20948434964325199</c:v>
                </c:pt>
                <c:pt idx="110">
                  <c:v>-0.115661474668267</c:v>
                </c:pt>
                <c:pt idx="111">
                  <c:v>-0.23815332739295</c:v>
                </c:pt>
                <c:pt idx="112">
                  <c:v>-0.37362173324862402</c:v>
                </c:pt>
                <c:pt idx="113">
                  <c:v>8.0915720082220102E-2</c:v>
                </c:pt>
                <c:pt idx="114">
                  <c:v>1.81146834573895</c:v>
                </c:pt>
                <c:pt idx="115">
                  <c:v>1.7543139709529401</c:v>
                </c:pt>
                <c:pt idx="1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47-4DFE-98B1-2761AA2F2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959488"/>
        <c:axId val="833945568"/>
      </c:lineChart>
      <c:dateAx>
        <c:axId val="66005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059840"/>
        <c:crosses val="autoZero"/>
        <c:auto val="1"/>
        <c:lblOffset val="100"/>
        <c:baseTimeUnit val="months"/>
      </c:dateAx>
      <c:valAx>
        <c:axId val="66005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059360"/>
        <c:crosses val="autoZero"/>
        <c:crossBetween val="between"/>
      </c:valAx>
      <c:valAx>
        <c:axId val="833945568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959488"/>
        <c:crosses val="max"/>
        <c:crossBetween val="between"/>
      </c:valAx>
      <c:dateAx>
        <c:axId val="8339594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3394556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SFS_YOY_M Raw VS. Factor_value_level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SFS_YOY_M!$C$1</c:f>
              <c:strCache>
                <c:ptCount val="1"/>
                <c:pt idx="0">
                  <c:v>raw_data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SFS_YOY_M!$B$2:$B$110</c:f>
              <c:numCache>
                <c:formatCode>m/d/yyyy</c:formatCode>
                <c:ptCount val="109"/>
                <c:pt idx="0">
                  <c:v>42825</c:v>
                </c:pt>
                <c:pt idx="1">
                  <c:v>42855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43008</c:v>
                </c:pt>
                <c:pt idx="7">
                  <c:v>43039</c:v>
                </c:pt>
                <c:pt idx="8">
                  <c:v>43069</c:v>
                </c:pt>
                <c:pt idx="9">
                  <c:v>43100</c:v>
                </c:pt>
                <c:pt idx="10">
                  <c:v>43131</c:v>
                </c:pt>
                <c:pt idx="11">
                  <c:v>43159</c:v>
                </c:pt>
                <c:pt idx="12">
                  <c:v>43190</c:v>
                </c:pt>
                <c:pt idx="13">
                  <c:v>43220</c:v>
                </c:pt>
                <c:pt idx="14">
                  <c:v>43251</c:v>
                </c:pt>
                <c:pt idx="15">
                  <c:v>43281</c:v>
                </c:pt>
                <c:pt idx="16">
                  <c:v>43312</c:v>
                </c:pt>
                <c:pt idx="17">
                  <c:v>43343</c:v>
                </c:pt>
                <c:pt idx="18">
                  <c:v>43373</c:v>
                </c:pt>
                <c:pt idx="19">
                  <c:v>43404</c:v>
                </c:pt>
                <c:pt idx="20">
                  <c:v>43434</c:v>
                </c:pt>
                <c:pt idx="21">
                  <c:v>43465</c:v>
                </c:pt>
                <c:pt idx="22">
                  <c:v>43496</c:v>
                </c:pt>
                <c:pt idx="23">
                  <c:v>43524</c:v>
                </c:pt>
                <c:pt idx="24">
                  <c:v>43555</c:v>
                </c:pt>
                <c:pt idx="25">
                  <c:v>43585</c:v>
                </c:pt>
                <c:pt idx="26">
                  <c:v>43616</c:v>
                </c:pt>
                <c:pt idx="27">
                  <c:v>43646</c:v>
                </c:pt>
                <c:pt idx="28">
                  <c:v>43677</c:v>
                </c:pt>
                <c:pt idx="29">
                  <c:v>43708</c:v>
                </c:pt>
                <c:pt idx="30">
                  <c:v>43738</c:v>
                </c:pt>
                <c:pt idx="31">
                  <c:v>43769</c:v>
                </c:pt>
                <c:pt idx="32">
                  <c:v>43799</c:v>
                </c:pt>
                <c:pt idx="33">
                  <c:v>43830</c:v>
                </c:pt>
                <c:pt idx="34">
                  <c:v>43861</c:v>
                </c:pt>
                <c:pt idx="35">
                  <c:v>43890</c:v>
                </c:pt>
                <c:pt idx="36">
                  <c:v>43921</c:v>
                </c:pt>
                <c:pt idx="37">
                  <c:v>43951</c:v>
                </c:pt>
                <c:pt idx="38">
                  <c:v>43982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44135</c:v>
                </c:pt>
                <c:pt idx="44">
                  <c:v>44165</c:v>
                </c:pt>
                <c:pt idx="45">
                  <c:v>44196</c:v>
                </c:pt>
                <c:pt idx="46">
                  <c:v>44227</c:v>
                </c:pt>
                <c:pt idx="47">
                  <c:v>44255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44408</c:v>
                </c:pt>
                <c:pt idx="53">
                  <c:v>44439</c:v>
                </c:pt>
                <c:pt idx="54">
                  <c:v>44469</c:v>
                </c:pt>
                <c:pt idx="55">
                  <c:v>44500</c:v>
                </c:pt>
                <c:pt idx="56">
                  <c:v>44530</c:v>
                </c:pt>
                <c:pt idx="57">
                  <c:v>44561</c:v>
                </c:pt>
                <c:pt idx="58">
                  <c:v>44592</c:v>
                </c:pt>
                <c:pt idx="59">
                  <c:v>44620</c:v>
                </c:pt>
                <c:pt idx="60">
                  <c:v>44651</c:v>
                </c:pt>
                <c:pt idx="61">
                  <c:v>44681</c:v>
                </c:pt>
                <c:pt idx="62">
                  <c:v>44712</c:v>
                </c:pt>
                <c:pt idx="63">
                  <c:v>44742</c:v>
                </c:pt>
                <c:pt idx="64">
                  <c:v>44773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44926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45046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45199</c:v>
                </c:pt>
                <c:pt idx="79">
                  <c:v>45230</c:v>
                </c:pt>
                <c:pt idx="80">
                  <c:v>45260</c:v>
                </c:pt>
                <c:pt idx="81">
                  <c:v>45291</c:v>
                </c:pt>
                <c:pt idx="82">
                  <c:v>45322</c:v>
                </c:pt>
                <c:pt idx="83">
                  <c:v>45351</c:v>
                </c:pt>
                <c:pt idx="84">
                  <c:v>45382</c:v>
                </c:pt>
                <c:pt idx="85">
                  <c:v>45412</c:v>
                </c:pt>
                <c:pt idx="86">
                  <c:v>45443</c:v>
                </c:pt>
                <c:pt idx="87">
                  <c:v>45473</c:v>
                </c:pt>
                <c:pt idx="88">
                  <c:v>45504</c:v>
                </c:pt>
                <c:pt idx="89">
                  <c:v>45535</c:v>
                </c:pt>
                <c:pt idx="90">
                  <c:v>45565</c:v>
                </c:pt>
                <c:pt idx="91">
                  <c:v>45596</c:v>
                </c:pt>
                <c:pt idx="92">
                  <c:v>45626</c:v>
                </c:pt>
                <c:pt idx="93">
                  <c:v>45657</c:v>
                </c:pt>
                <c:pt idx="94">
                  <c:v>45688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45808</c:v>
                </c:pt>
                <c:pt idx="99">
                  <c:v>45838</c:v>
                </c:pt>
                <c:pt idx="100">
                  <c:v>45869</c:v>
                </c:pt>
                <c:pt idx="101">
                  <c:v>45900</c:v>
                </c:pt>
                <c:pt idx="102">
                  <c:v>45930</c:v>
                </c:pt>
                <c:pt idx="103">
                  <c:v>45961</c:v>
                </c:pt>
                <c:pt idx="104">
                  <c:v>45991</c:v>
                </c:pt>
                <c:pt idx="105">
                  <c:v>46022</c:v>
                </c:pt>
                <c:pt idx="106">
                  <c:v>46053</c:v>
                </c:pt>
                <c:pt idx="107">
                  <c:v>46081</c:v>
                </c:pt>
                <c:pt idx="108">
                  <c:v>46112</c:v>
                </c:pt>
              </c:numCache>
            </c:numRef>
          </c:cat>
          <c:val>
            <c:numRef>
              <c:f>SFS_YOY_M!$C$2:$C$110</c:f>
              <c:numCache>
                <c:formatCode>_(* #,##0.00_);_(* \(#,##0.00\);_(* "-"??_);_(@_)</c:formatCode>
                <c:ptCount val="109"/>
                <c:pt idx="0">
                  <c:v>15.710338</c:v>
                </c:pt>
                <c:pt idx="1">
                  <c:v>15.501042999999999</c:v>
                </c:pt>
                <c:pt idx="2">
                  <c:v>15.503387</c:v>
                </c:pt>
                <c:pt idx="3">
                  <c:v>14.917823</c:v>
                </c:pt>
                <c:pt idx="4">
                  <c:v>15.542253000000001</c:v>
                </c:pt>
                <c:pt idx="5">
                  <c:v>15.112273</c:v>
                </c:pt>
                <c:pt idx="6">
                  <c:v>14.888994</c:v>
                </c:pt>
                <c:pt idx="7">
                  <c:v>14.955353000000001</c:v>
                </c:pt>
                <c:pt idx="8">
                  <c:v>14.492229</c:v>
                </c:pt>
                <c:pt idx="9">
                  <c:v>14.081822000000001</c:v>
                </c:pt>
                <c:pt idx="10">
                  <c:v>13.433579</c:v>
                </c:pt>
                <c:pt idx="11">
                  <c:v>13.388316</c:v>
                </c:pt>
                <c:pt idx="12">
                  <c:v>12.690308</c:v>
                </c:pt>
                <c:pt idx="13">
                  <c:v>12.652969000000001</c:v>
                </c:pt>
                <c:pt idx="14">
                  <c:v>12.199076</c:v>
                </c:pt>
                <c:pt idx="15">
                  <c:v>11.76127</c:v>
                </c:pt>
                <c:pt idx="16">
                  <c:v>11.485086000000001</c:v>
                </c:pt>
                <c:pt idx="17">
                  <c:v>11.516139000000001</c:v>
                </c:pt>
                <c:pt idx="18">
                  <c:v>11.208432999999999</c:v>
                </c:pt>
                <c:pt idx="19">
                  <c:v>10.789977</c:v>
                </c:pt>
                <c:pt idx="20">
                  <c:v>10.307183</c:v>
                </c:pt>
                <c:pt idx="21">
                  <c:v>10.259731</c:v>
                </c:pt>
                <c:pt idx="22">
                  <c:v>10.851788000000001</c:v>
                </c:pt>
                <c:pt idx="23">
                  <c:v>10.645690999999999</c:v>
                </c:pt>
                <c:pt idx="24">
                  <c:v>11.162117</c:v>
                </c:pt>
                <c:pt idx="25">
                  <c:v>10.805548</c:v>
                </c:pt>
                <c:pt idx="26">
                  <c:v>11.025001</c:v>
                </c:pt>
                <c:pt idx="27">
                  <c:v>11.193424</c:v>
                </c:pt>
                <c:pt idx="28">
                  <c:v>10.848680999999999</c:v>
                </c:pt>
                <c:pt idx="29">
                  <c:v>10.676171999999999</c:v>
                </c:pt>
                <c:pt idx="30">
                  <c:v>10.666387</c:v>
                </c:pt>
                <c:pt idx="31">
                  <c:v>10.581898000000001</c:v>
                </c:pt>
                <c:pt idx="32">
                  <c:v>10.669226999999999</c:v>
                </c:pt>
                <c:pt idx="33">
                  <c:v>10.692755999999999</c:v>
                </c:pt>
                <c:pt idx="34">
                  <c:v>10.7</c:v>
                </c:pt>
                <c:pt idx="35">
                  <c:v>10.7</c:v>
                </c:pt>
                <c:pt idx="36">
                  <c:v>11.5</c:v>
                </c:pt>
                <c:pt idx="37">
                  <c:v>12</c:v>
                </c:pt>
                <c:pt idx="38">
                  <c:v>12.5</c:v>
                </c:pt>
                <c:pt idx="39">
                  <c:v>12.8</c:v>
                </c:pt>
                <c:pt idx="40">
                  <c:v>12.9</c:v>
                </c:pt>
                <c:pt idx="41">
                  <c:v>13.3</c:v>
                </c:pt>
                <c:pt idx="42">
                  <c:v>13.5</c:v>
                </c:pt>
                <c:pt idx="43">
                  <c:v>13.7</c:v>
                </c:pt>
                <c:pt idx="44">
                  <c:v>13.6</c:v>
                </c:pt>
                <c:pt idx="45">
                  <c:v>13.3</c:v>
                </c:pt>
                <c:pt idx="46">
                  <c:v>13</c:v>
                </c:pt>
                <c:pt idx="47">
                  <c:v>13.3</c:v>
                </c:pt>
                <c:pt idx="48">
                  <c:v>12.3</c:v>
                </c:pt>
                <c:pt idx="49">
                  <c:v>11.7</c:v>
                </c:pt>
                <c:pt idx="50">
                  <c:v>11</c:v>
                </c:pt>
                <c:pt idx="51">
                  <c:v>11</c:v>
                </c:pt>
                <c:pt idx="52">
                  <c:v>10.7</c:v>
                </c:pt>
                <c:pt idx="53">
                  <c:v>10.3</c:v>
                </c:pt>
                <c:pt idx="54">
                  <c:v>10</c:v>
                </c:pt>
                <c:pt idx="55">
                  <c:v>10</c:v>
                </c:pt>
                <c:pt idx="56">
                  <c:v>10.1</c:v>
                </c:pt>
                <c:pt idx="57">
                  <c:v>10.3</c:v>
                </c:pt>
                <c:pt idx="58">
                  <c:v>10.5</c:v>
                </c:pt>
                <c:pt idx="59">
                  <c:v>10.199999999999999</c:v>
                </c:pt>
                <c:pt idx="60">
                  <c:v>10.5</c:v>
                </c:pt>
                <c:pt idx="61">
                  <c:v>10.199999999999999</c:v>
                </c:pt>
                <c:pt idx="62">
                  <c:v>10.5</c:v>
                </c:pt>
                <c:pt idx="63">
                  <c:v>10.8</c:v>
                </c:pt>
                <c:pt idx="64">
                  <c:v>10.7</c:v>
                </c:pt>
                <c:pt idx="65">
                  <c:v>10.5</c:v>
                </c:pt>
                <c:pt idx="66">
                  <c:v>10.6</c:v>
                </c:pt>
                <c:pt idx="67">
                  <c:v>10.3</c:v>
                </c:pt>
                <c:pt idx="68">
                  <c:v>10</c:v>
                </c:pt>
                <c:pt idx="69">
                  <c:v>9.6</c:v>
                </c:pt>
                <c:pt idx="70">
                  <c:v>9.4</c:v>
                </c:pt>
                <c:pt idx="71">
                  <c:v>9.9</c:v>
                </c:pt>
                <c:pt idx="72">
                  <c:v>10</c:v>
                </c:pt>
                <c:pt idx="73">
                  <c:v>10</c:v>
                </c:pt>
                <c:pt idx="74">
                  <c:v>9.5</c:v>
                </c:pt>
                <c:pt idx="75">
                  <c:v>9</c:v>
                </c:pt>
                <c:pt idx="76">
                  <c:v>8.9</c:v>
                </c:pt>
                <c:pt idx="77">
                  <c:v>9</c:v>
                </c:pt>
                <c:pt idx="78">
                  <c:v>9</c:v>
                </c:pt>
                <c:pt idx="79">
                  <c:v>9.3000000000000007</c:v>
                </c:pt>
                <c:pt idx="80">
                  <c:v>9.4</c:v>
                </c:pt>
                <c:pt idx="81">
                  <c:v>9.5</c:v>
                </c:pt>
                <c:pt idx="82">
                  <c:v>9.5</c:v>
                </c:pt>
                <c:pt idx="83">
                  <c:v>9</c:v>
                </c:pt>
                <c:pt idx="84">
                  <c:v>8.6999999999999993</c:v>
                </c:pt>
                <c:pt idx="85">
                  <c:v>8.3000000000000007</c:v>
                </c:pt>
                <c:pt idx="86">
                  <c:v>8.4</c:v>
                </c:pt>
                <c:pt idx="87">
                  <c:v>8.1</c:v>
                </c:pt>
                <c:pt idx="88">
                  <c:v>8.1999999999999993</c:v>
                </c:pt>
                <c:pt idx="89">
                  <c:v>8.1</c:v>
                </c:pt>
                <c:pt idx="90">
                  <c:v>8</c:v>
                </c:pt>
                <c:pt idx="91">
                  <c:v>7.8</c:v>
                </c:pt>
                <c:pt idx="92">
                  <c:v>7.8</c:v>
                </c:pt>
                <c:pt idx="93">
                  <c:v>8</c:v>
                </c:pt>
                <c:pt idx="94">
                  <c:v>8</c:v>
                </c:pt>
                <c:pt idx="95">
                  <c:v>8.1999999999999993</c:v>
                </c:pt>
                <c:pt idx="96">
                  <c:v>8.4</c:v>
                </c:pt>
                <c:pt idx="97">
                  <c:v>8.6999999999999993</c:v>
                </c:pt>
                <c:pt idx="98">
                  <c:v>8.6999999999999993</c:v>
                </c:pt>
                <c:pt idx="99">
                  <c:v>8.9</c:v>
                </c:pt>
                <c:pt idx="100">
                  <c:v>9</c:v>
                </c:pt>
                <c:pt idx="101">
                  <c:v>8.8000000000000007</c:v>
                </c:pt>
                <c:pt idx="102">
                  <c:v>8.6999999999999993</c:v>
                </c:pt>
                <c:pt idx="103">
                  <c:v>8.5</c:v>
                </c:pt>
                <c:pt idx="104">
                  <c:v>8.5</c:v>
                </c:pt>
                <c:pt idx="105">
                  <c:v>8.3000000000000007</c:v>
                </c:pt>
                <c:pt idx="106">
                  <c:v>8.1999999999999993</c:v>
                </c:pt>
                <c:pt idx="107">
                  <c:v>8.1999999999999993</c:v>
                </c:pt>
                <c:pt idx="108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4-4F8C-85DB-EBA3D885B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7552"/>
        <c:axId val="2320912"/>
      </c:lineChart>
      <c:lineChart>
        <c:grouping val="standard"/>
        <c:varyColors val="0"/>
        <c:ser>
          <c:idx val="1"/>
          <c:order val="1"/>
          <c:tx>
            <c:strRef>
              <c:f>SFS_YOY_M!$D$1</c:f>
              <c:strCache>
                <c:ptCount val="1"/>
                <c:pt idx="0">
                  <c:v> factor_value_level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SFS_YOY_M!$B$2:$B$110</c:f>
              <c:numCache>
                <c:formatCode>m/d/yyyy</c:formatCode>
                <c:ptCount val="109"/>
                <c:pt idx="0">
                  <c:v>42825</c:v>
                </c:pt>
                <c:pt idx="1">
                  <c:v>42855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43008</c:v>
                </c:pt>
                <c:pt idx="7">
                  <c:v>43039</c:v>
                </c:pt>
                <c:pt idx="8">
                  <c:v>43069</c:v>
                </c:pt>
                <c:pt idx="9">
                  <c:v>43100</c:v>
                </c:pt>
                <c:pt idx="10">
                  <c:v>43131</c:v>
                </c:pt>
                <c:pt idx="11">
                  <c:v>43159</c:v>
                </c:pt>
                <c:pt idx="12">
                  <c:v>43190</c:v>
                </c:pt>
                <c:pt idx="13">
                  <c:v>43220</c:v>
                </c:pt>
                <c:pt idx="14">
                  <c:v>43251</c:v>
                </c:pt>
                <c:pt idx="15">
                  <c:v>43281</c:v>
                </c:pt>
                <c:pt idx="16">
                  <c:v>43312</c:v>
                </c:pt>
                <c:pt idx="17">
                  <c:v>43343</c:v>
                </c:pt>
                <c:pt idx="18">
                  <c:v>43373</c:v>
                </c:pt>
                <c:pt idx="19">
                  <c:v>43404</c:v>
                </c:pt>
                <c:pt idx="20">
                  <c:v>43434</c:v>
                </c:pt>
                <c:pt idx="21">
                  <c:v>43465</c:v>
                </c:pt>
                <c:pt idx="22">
                  <c:v>43496</c:v>
                </c:pt>
                <c:pt idx="23">
                  <c:v>43524</c:v>
                </c:pt>
                <c:pt idx="24">
                  <c:v>43555</c:v>
                </c:pt>
                <c:pt idx="25">
                  <c:v>43585</c:v>
                </c:pt>
                <c:pt idx="26">
                  <c:v>43616</c:v>
                </c:pt>
                <c:pt idx="27">
                  <c:v>43646</c:v>
                </c:pt>
                <c:pt idx="28">
                  <c:v>43677</c:v>
                </c:pt>
                <c:pt idx="29">
                  <c:v>43708</c:v>
                </c:pt>
                <c:pt idx="30">
                  <c:v>43738</c:v>
                </c:pt>
                <c:pt idx="31">
                  <c:v>43769</c:v>
                </c:pt>
                <c:pt idx="32">
                  <c:v>43799</c:v>
                </c:pt>
                <c:pt idx="33">
                  <c:v>43830</c:v>
                </c:pt>
                <c:pt idx="34">
                  <c:v>43861</c:v>
                </c:pt>
                <c:pt idx="35">
                  <c:v>43890</c:v>
                </c:pt>
                <c:pt idx="36">
                  <c:v>43921</c:v>
                </c:pt>
                <c:pt idx="37">
                  <c:v>43951</c:v>
                </c:pt>
                <c:pt idx="38">
                  <c:v>43982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44135</c:v>
                </c:pt>
                <c:pt idx="44">
                  <c:v>44165</c:v>
                </c:pt>
                <c:pt idx="45">
                  <c:v>44196</c:v>
                </c:pt>
                <c:pt idx="46">
                  <c:v>44227</c:v>
                </c:pt>
                <c:pt idx="47">
                  <c:v>44255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44408</c:v>
                </c:pt>
                <c:pt idx="53">
                  <c:v>44439</c:v>
                </c:pt>
                <c:pt idx="54">
                  <c:v>44469</c:v>
                </c:pt>
                <c:pt idx="55">
                  <c:v>44500</c:v>
                </c:pt>
                <c:pt idx="56">
                  <c:v>44530</c:v>
                </c:pt>
                <c:pt idx="57">
                  <c:v>44561</c:v>
                </c:pt>
                <c:pt idx="58">
                  <c:v>44592</c:v>
                </c:pt>
                <c:pt idx="59">
                  <c:v>44620</c:v>
                </c:pt>
                <c:pt idx="60">
                  <c:v>44651</c:v>
                </c:pt>
                <c:pt idx="61">
                  <c:v>44681</c:v>
                </c:pt>
                <c:pt idx="62">
                  <c:v>44712</c:v>
                </c:pt>
                <c:pt idx="63">
                  <c:v>44742</c:v>
                </c:pt>
                <c:pt idx="64">
                  <c:v>44773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44926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45046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45199</c:v>
                </c:pt>
                <c:pt idx="79">
                  <c:v>45230</c:v>
                </c:pt>
                <c:pt idx="80">
                  <c:v>45260</c:v>
                </c:pt>
                <c:pt idx="81">
                  <c:v>45291</c:v>
                </c:pt>
                <c:pt idx="82">
                  <c:v>45322</c:v>
                </c:pt>
                <c:pt idx="83">
                  <c:v>45351</c:v>
                </c:pt>
                <c:pt idx="84">
                  <c:v>45382</c:v>
                </c:pt>
                <c:pt idx="85">
                  <c:v>45412</c:v>
                </c:pt>
                <c:pt idx="86">
                  <c:v>45443</c:v>
                </c:pt>
                <c:pt idx="87">
                  <c:v>45473</c:v>
                </c:pt>
                <c:pt idx="88">
                  <c:v>45504</c:v>
                </c:pt>
                <c:pt idx="89">
                  <c:v>45535</c:v>
                </c:pt>
                <c:pt idx="90">
                  <c:v>45565</c:v>
                </c:pt>
                <c:pt idx="91">
                  <c:v>45596</c:v>
                </c:pt>
                <c:pt idx="92">
                  <c:v>45626</c:v>
                </c:pt>
                <c:pt idx="93">
                  <c:v>45657</c:v>
                </c:pt>
                <c:pt idx="94">
                  <c:v>45688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45808</c:v>
                </c:pt>
                <c:pt idx="99">
                  <c:v>45838</c:v>
                </c:pt>
                <c:pt idx="100">
                  <c:v>45869</c:v>
                </c:pt>
                <c:pt idx="101">
                  <c:v>45900</c:v>
                </c:pt>
                <c:pt idx="102">
                  <c:v>45930</c:v>
                </c:pt>
                <c:pt idx="103">
                  <c:v>45961</c:v>
                </c:pt>
                <c:pt idx="104">
                  <c:v>45991</c:v>
                </c:pt>
                <c:pt idx="105">
                  <c:v>46022</c:v>
                </c:pt>
                <c:pt idx="106">
                  <c:v>46053</c:v>
                </c:pt>
                <c:pt idx="107">
                  <c:v>46081</c:v>
                </c:pt>
                <c:pt idx="108">
                  <c:v>46112</c:v>
                </c:pt>
              </c:numCache>
            </c:numRef>
          </c:cat>
          <c:val>
            <c:numRef>
              <c:f>SFS_YOY_M!$D$2:$D$110</c:f>
              <c:numCache>
                <c:formatCode>_(* #,##0.00_);_(* \(#,##0.00\);_(* "-"??_);_(@_)</c:formatCode>
                <c:ptCount val="109"/>
                <c:pt idx="0">
                  <c:v>1.55477352935885</c:v>
                </c:pt>
                <c:pt idx="1">
                  <c:v>1.0290116509034599</c:v>
                </c:pt>
                <c:pt idx="2">
                  <c:v>0.80878745822926601</c:v>
                </c:pt>
                <c:pt idx="3">
                  <c:v>0.17208587865743699</c:v>
                </c:pt>
                <c:pt idx="4">
                  <c:v>0.61614458639661596</c:v>
                </c:pt>
                <c:pt idx="5">
                  <c:v>0.12261737906622699</c:v>
                </c:pt>
                <c:pt idx="6">
                  <c:v>-0.118766746980557</c:v>
                </c:pt>
                <c:pt idx="7">
                  <c:v>-7.6233396715713705E-2</c:v>
                </c:pt>
                <c:pt idx="8">
                  <c:v>-0.50016453951605</c:v>
                </c:pt>
                <c:pt idx="9">
                  <c:v>-0.80763106226628201</c:v>
                </c:pt>
                <c:pt idx="10">
                  <c:v>-1.26702144645641</c:v>
                </c:pt>
                <c:pt idx="11">
                  <c:v>-1.08581741096978</c:v>
                </c:pt>
                <c:pt idx="12">
                  <c:v>-1.51367229526319</c:v>
                </c:pt>
                <c:pt idx="13">
                  <c:v>-1.2548240890004201</c:v>
                </c:pt>
                <c:pt idx="14">
                  <c:v>-1.40866737270455</c:v>
                </c:pt>
                <c:pt idx="15">
                  <c:v>-1.5026780492107501</c:v>
                </c:pt>
                <c:pt idx="16">
                  <c:v>-1.42902748854697</c:v>
                </c:pt>
                <c:pt idx="17">
                  <c:v>-1.1151779098689001</c:v>
                </c:pt>
                <c:pt idx="18">
                  <c:v>-1.14225986377955</c:v>
                </c:pt>
                <c:pt idx="19">
                  <c:v>-1.22250443221095</c:v>
                </c:pt>
                <c:pt idx="20">
                  <c:v>-1.33386038869358</c:v>
                </c:pt>
                <c:pt idx="21">
                  <c:v>-1.05820282926007</c:v>
                </c:pt>
                <c:pt idx="22">
                  <c:v>-0.34832489263126698</c:v>
                </c:pt>
                <c:pt idx="23">
                  <c:v>-0.37528972225463397</c:v>
                </c:pt>
                <c:pt idx="24">
                  <c:v>0.15881444824169799</c:v>
                </c:pt>
                <c:pt idx="25">
                  <c:v>-6.4127929059111896E-2</c:v>
                </c:pt>
                <c:pt idx="26">
                  <c:v>0.198982995584948</c:v>
                </c:pt>
                <c:pt idx="27">
                  <c:v>0.36104693228384699</c:v>
                </c:pt>
                <c:pt idx="28">
                  <c:v>7.8688824652508704E-2</c:v>
                </c:pt>
                <c:pt idx="29">
                  <c:v>-2.8125015003479501E-2</c:v>
                </c:pt>
                <c:pt idx="30">
                  <c:v>9.1230796323273199E-3</c:v>
                </c:pt>
                <c:pt idx="31">
                  <c:v>-2.1529391871491398E-2</c:v>
                </c:pt>
                <c:pt idx="32">
                  <c:v>9.0511727530159E-2</c:v>
                </c:pt>
                <c:pt idx="33">
                  <c:v>0.140314225511177</c:v>
                </c:pt>
                <c:pt idx="34">
                  <c:v>0.15110750490788399</c:v>
                </c:pt>
                <c:pt idx="35">
                  <c:v>0.26830630689400298</c:v>
                </c:pt>
                <c:pt idx="36">
                  <c:v>1.2243062377012099</c:v>
                </c:pt>
                <c:pt idx="37">
                  <c:v>1.7977847092804899</c:v>
                </c:pt>
                <c:pt idx="38">
                  <c:v>2.2318267679498298</c:v>
                </c:pt>
                <c:pt idx="39">
                  <c:v>2.2917517504301301</c:v>
                </c:pt>
                <c:pt idx="40">
                  <c:v>2.0060678688665501</c:v>
                </c:pt>
                <c:pt idx="41">
                  <c:v>2.1555887753985798</c:v>
                </c:pt>
                <c:pt idx="42">
                  <c:v>1.98260833082168</c:v>
                </c:pt>
                <c:pt idx="43">
                  <c:v>1.82395494214954</c:v>
                </c:pt>
                <c:pt idx="44">
                  <c:v>1.4237058734510299</c:v>
                </c:pt>
                <c:pt idx="45">
                  <c:v>0.93021074211978905</c:v>
                </c:pt>
                <c:pt idx="46">
                  <c:v>0.53666516425013</c:v>
                </c:pt>
                <c:pt idx="47">
                  <c:v>0.72903418966837297</c:v>
                </c:pt>
                <c:pt idx="48">
                  <c:v>-0.25489533281277599</c:v>
                </c:pt>
                <c:pt idx="49">
                  <c:v>-0.74497401866096602</c:v>
                </c:pt>
                <c:pt idx="50">
                  <c:v>-1.2400287096746301</c:v>
                </c:pt>
                <c:pt idx="51">
                  <c:v>-1.0205234159418901</c:v>
                </c:pt>
                <c:pt idx="52">
                  <c:v>-1.1311598887865899</c:v>
                </c:pt>
                <c:pt idx="53">
                  <c:v>-1.3191335691314501</c:v>
                </c:pt>
                <c:pt idx="54">
                  <c:v>-1.35705466803911</c:v>
                </c:pt>
                <c:pt idx="55">
                  <c:v>-1.1138833351343</c:v>
                </c:pt>
                <c:pt idx="56">
                  <c:v>-0.84022975391615196</c:v>
                </c:pt>
                <c:pt idx="57">
                  <c:v>-0.53568063058634496</c:v>
                </c:pt>
                <c:pt idx="58">
                  <c:v>-0.27048458286780203</c:v>
                </c:pt>
                <c:pt idx="59">
                  <c:v>-0.51776260931009299</c:v>
                </c:pt>
                <c:pt idx="60">
                  <c:v>-0.12936956286100201</c:v>
                </c:pt>
                <c:pt idx="61">
                  <c:v>-0.38990325517470098</c:v>
                </c:pt>
                <c:pt idx="62">
                  <c:v>-1.4437914885162601E-2</c:v>
                </c:pt>
                <c:pt idx="63">
                  <c:v>0.30143781557904098</c:v>
                </c:pt>
                <c:pt idx="64">
                  <c:v>0.166047572968301</c:v>
                </c:pt>
                <c:pt idx="65">
                  <c:v>-5.4600144731520799E-2</c:v>
                </c:pt>
                <c:pt idx="66">
                  <c:v>5.8493431963550502E-2</c:v>
                </c:pt>
                <c:pt idx="67">
                  <c:v>-0.24887194524846701</c:v>
                </c:pt>
                <c:pt idx="68">
                  <c:v>-0.50367057505050605</c:v>
                </c:pt>
                <c:pt idx="69">
                  <c:v>-0.80616710461706897</c:v>
                </c:pt>
                <c:pt idx="70">
                  <c:v>-0.84430451296964804</c:v>
                </c:pt>
                <c:pt idx="71">
                  <c:v>-0.18148068870477099</c:v>
                </c:pt>
                <c:pt idx="72">
                  <c:v>-3.36281898712966E-2</c:v>
                </c:pt>
                <c:pt idx="73">
                  <c:v>1.25185896770303E-2</c:v>
                </c:pt>
                <c:pt idx="74">
                  <c:v>-0.43843651980909698</c:v>
                </c:pt>
                <c:pt idx="75">
                  <c:v>-0.821635656862158</c:v>
                </c:pt>
                <c:pt idx="76">
                  <c:v>-0.71832496788350797</c:v>
                </c:pt>
                <c:pt idx="77">
                  <c:v>-0.394158810273668</c:v>
                </c:pt>
                <c:pt idx="78">
                  <c:v>-0.21229268826018</c:v>
                </c:pt>
                <c:pt idx="79">
                  <c:v>0.37543426647393002</c:v>
                </c:pt>
                <c:pt idx="80">
                  <c:v>0.68983146973629705</c:v>
                </c:pt>
                <c:pt idx="81">
                  <c:v>1.00074399229899</c:v>
                </c:pt>
                <c:pt idx="82">
                  <c:v>1.0729137025562501</c:v>
                </c:pt>
                <c:pt idx="83">
                  <c:v>0.210647182449021</c:v>
                </c:pt>
                <c:pt idx="84">
                  <c:v>-0.14947318529050699</c:v>
                </c:pt>
                <c:pt idx="85">
                  <c:v>-0.68937403669720698</c:v>
                </c:pt>
                <c:pt idx="86">
                  <c:v>-0.219131137268335</c:v>
                </c:pt>
                <c:pt idx="87">
                  <c:v>-0.64647358076756101</c:v>
                </c:pt>
                <c:pt idx="88">
                  <c:v>-0.194491427373155</c:v>
                </c:pt>
                <c:pt idx="89">
                  <c:v>-0.23748540149399899</c:v>
                </c:pt>
                <c:pt idx="90">
                  <c:v>-0.30730697053226802</c:v>
                </c:pt>
                <c:pt idx="91">
                  <c:v>-0.66225565283438703</c:v>
                </c:pt>
                <c:pt idx="92">
                  <c:v>-0.43566217741951002</c:v>
                </c:pt>
                <c:pt idx="93">
                  <c:v>0.38110653320683702</c:v>
                </c:pt>
                <c:pt idx="94">
                  <c:v>0.51053966877428003</c:v>
                </c:pt>
                <c:pt idx="95">
                  <c:v>1.2132989225473101</c:v>
                </c:pt>
                <c:pt idx="96">
                  <c:v>1.7418176740639699</c:v>
                </c:pt>
                <c:pt idx="97">
                  <c:v>2.40863328219366</c:v>
                </c:pt>
                <c:pt idx="98">
                  <c:v>1.9996448085685401</c:v>
                </c:pt>
                <c:pt idx="99">
                  <c:v>2.2254651888927302</c:v>
                </c:pt>
                <c:pt idx="100">
                  <c:v>2.1690316674588801</c:v>
                </c:pt>
                <c:pt idx="101">
                  <c:v>1.40675317210777</c:v>
                </c:pt>
                <c:pt idx="102">
                  <c:v>1.04712615758765</c:v>
                </c:pt>
                <c:pt idx="103">
                  <c:v>0.55992931023347703</c:v>
                </c:pt>
                <c:pt idx="104">
                  <c:v>0.57975716717127501</c:v>
                </c:pt>
                <c:pt idx="105">
                  <c:v>0.148420400636013</c:v>
                </c:pt>
                <c:pt idx="106">
                  <c:v>-1.2471595794999501E-2</c:v>
                </c:pt>
                <c:pt idx="107">
                  <c:v>6.4616580092756407E-2</c:v>
                </c:pt>
                <c:pt idx="108">
                  <c:v>-0.51762471137235699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4-4F8C-85DB-EBA3D885B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907648"/>
        <c:axId val="833944608"/>
      </c:lineChart>
      <c:dateAx>
        <c:axId val="2317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20912"/>
        <c:crosses val="autoZero"/>
        <c:auto val="1"/>
        <c:lblOffset val="100"/>
        <c:baseTimeUnit val="months"/>
      </c:dateAx>
      <c:valAx>
        <c:axId val="232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17552"/>
        <c:crosses val="autoZero"/>
        <c:crossBetween val="between"/>
      </c:valAx>
      <c:valAx>
        <c:axId val="833944608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907648"/>
        <c:crosses val="max"/>
        <c:crossBetween val="between"/>
      </c:valAx>
      <c:dateAx>
        <c:axId val="83390764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3394460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M1_YOY_M</a:t>
            </a:r>
            <a:r>
              <a:rPr lang="en-US" altLang="zh-CN" baseline="0"/>
              <a:t> Raw VS. Factor_value_level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M1_YOY_M!$C$1</c:f>
              <c:strCache>
                <c:ptCount val="1"/>
                <c:pt idx="0">
                  <c:v>raw_data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M1_YOY_M!$B$2:$B$118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M1_YOY_M!$C$2:$C$118</c:f>
              <c:numCache>
                <c:formatCode>General</c:formatCode>
                <c:ptCount val="117"/>
                <c:pt idx="0">
                  <c:v>25.4</c:v>
                </c:pt>
                <c:pt idx="1">
                  <c:v>25.3</c:v>
                </c:pt>
                <c:pt idx="2">
                  <c:v>24.7</c:v>
                </c:pt>
                <c:pt idx="3">
                  <c:v>23.9</c:v>
                </c:pt>
                <c:pt idx="4">
                  <c:v>22.7</c:v>
                </c:pt>
                <c:pt idx="5">
                  <c:v>21.4</c:v>
                </c:pt>
                <c:pt idx="6">
                  <c:v>14.5</c:v>
                </c:pt>
                <c:pt idx="7">
                  <c:v>21.4</c:v>
                </c:pt>
                <c:pt idx="8">
                  <c:v>18.8</c:v>
                </c:pt>
                <c:pt idx="9">
                  <c:v>18.5</c:v>
                </c:pt>
                <c:pt idx="10">
                  <c:v>17</c:v>
                </c:pt>
                <c:pt idx="11">
                  <c:v>15</c:v>
                </c:pt>
                <c:pt idx="12">
                  <c:v>15.3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12.7</c:v>
                </c:pt>
                <c:pt idx="17">
                  <c:v>11.8</c:v>
                </c:pt>
                <c:pt idx="18">
                  <c:v>15</c:v>
                </c:pt>
                <c:pt idx="19">
                  <c:v>8.5</c:v>
                </c:pt>
                <c:pt idx="20">
                  <c:v>7.1</c:v>
                </c:pt>
                <c:pt idx="21">
                  <c:v>7.2</c:v>
                </c:pt>
                <c:pt idx="22">
                  <c:v>6</c:v>
                </c:pt>
                <c:pt idx="23">
                  <c:v>6.6</c:v>
                </c:pt>
                <c:pt idx="24">
                  <c:v>5.0999999999999996</c:v>
                </c:pt>
                <c:pt idx="25">
                  <c:v>3.9</c:v>
                </c:pt>
                <c:pt idx="26">
                  <c:v>4</c:v>
                </c:pt>
                <c:pt idx="27">
                  <c:v>2.7</c:v>
                </c:pt>
                <c:pt idx="28">
                  <c:v>1.5</c:v>
                </c:pt>
                <c:pt idx="29">
                  <c:v>1.5</c:v>
                </c:pt>
                <c:pt idx="30">
                  <c:v>0.4</c:v>
                </c:pt>
                <c:pt idx="31">
                  <c:v>2</c:v>
                </c:pt>
                <c:pt idx="32">
                  <c:v>4.5999999999999996</c:v>
                </c:pt>
                <c:pt idx="33">
                  <c:v>2.9</c:v>
                </c:pt>
                <c:pt idx="34">
                  <c:v>3.4</c:v>
                </c:pt>
                <c:pt idx="35">
                  <c:v>4.4000000000000004</c:v>
                </c:pt>
                <c:pt idx="36">
                  <c:v>3.1</c:v>
                </c:pt>
                <c:pt idx="37">
                  <c:v>3.4</c:v>
                </c:pt>
                <c:pt idx="38">
                  <c:v>3.4</c:v>
                </c:pt>
                <c:pt idx="39">
                  <c:v>3.3</c:v>
                </c:pt>
                <c:pt idx="40">
                  <c:v>3.5</c:v>
                </c:pt>
                <c:pt idx="41">
                  <c:v>4.4000000000000004</c:v>
                </c:pt>
                <c:pt idx="42">
                  <c:v>0</c:v>
                </c:pt>
                <c:pt idx="43">
                  <c:v>4.8</c:v>
                </c:pt>
                <c:pt idx="44">
                  <c:v>5</c:v>
                </c:pt>
                <c:pt idx="45">
                  <c:v>5.5</c:v>
                </c:pt>
                <c:pt idx="46">
                  <c:v>6.8</c:v>
                </c:pt>
                <c:pt idx="47">
                  <c:v>6.5</c:v>
                </c:pt>
                <c:pt idx="48">
                  <c:v>6.9</c:v>
                </c:pt>
                <c:pt idx="49">
                  <c:v>8</c:v>
                </c:pt>
                <c:pt idx="50">
                  <c:v>8.1</c:v>
                </c:pt>
                <c:pt idx="51">
                  <c:v>9.1</c:v>
                </c:pt>
                <c:pt idx="52">
                  <c:v>10</c:v>
                </c:pt>
                <c:pt idx="53">
                  <c:v>8.6</c:v>
                </c:pt>
                <c:pt idx="54">
                  <c:v>14.7</c:v>
                </c:pt>
                <c:pt idx="55">
                  <c:v>7.4</c:v>
                </c:pt>
                <c:pt idx="56">
                  <c:v>7.1</c:v>
                </c:pt>
                <c:pt idx="57">
                  <c:v>6.2</c:v>
                </c:pt>
                <c:pt idx="58">
                  <c:v>6.1</c:v>
                </c:pt>
                <c:pt idx="59">
                  <c:v>5.5</c:v>
                </c:pt>
                <c:pt idx="60">
                  <c:v>4.9000000000000004</c:v>
                </c:pt>
                <c:pt idx="61">
                  <c:v>4.2</c:v>
                </c:pt>
                <c:pt idx="62">
                  <c:v>3.7</c:v>
                </c:pt>
                <c:pt idx="63">
                  <c:v>2.8</c:v>
                </c:pt>
                <c:pt idx="64">
                  <c:v>3</c:v>
                </c:pt>
                <c:pt idx="65">
                  <c:v>3.5</c:v>
                </c:pt>
                <c:pt idx="66">
                  <c:v>-1.9</c:v>
                </c:pt>
                <c:pt idx="67">
                  <c:v>4.7</c:v>
                </c:pt>
                <c:pt idx="68">
                  <c:v>4.7</c:v>
                </c:pt>
                <c:pt idx="69">
                  <c:v>5.0999999999999996</c:v>
                </c:pt>
                <c:pt idx="70">
                  <c:v>4.5999999999999996</c:v>
                </c:pt>
                <c:pt idx="71">
                  <c:v>5.8</c:v>
                </c:pt>
                <c:pt idx="72">
                  <c:v>6.7</c:v>
                </c:pt>
                <c:pt idx="73">
                  <c:v>6.1</c:v>
                </c:pt>
                <c:pt idx="74">
                  <c:v>6.4</c:v>
                </c:pt>
                <c:pt idx="75">
                  <c:v>5.8</c:v>
                </c:pt>
                <c:pt idx="76">
                  <c:v>4.5999999999999996</c:v>
                </c:pt>
                <c:pt idx="77">
                  <c:v>3.7</c:v>
                </c:pt>
                <c:pt idx="78">
                  <c:v>6.7</c:v>
                </c:pt>
                <c:pt idx="79">
                  <c:v>5.8</c:v>
                </c:pt>
                <c:pt idx="80">
                  <c:v>5.0999999999999996</c:v>
                </c:pt>
                <c:pt idx="81">
                  <c:v>5.3</c:v>
                </c:pt>
                <c:pt idx="82">
                  <c:v>4.7</c:v>
                </c:pt>
                <c:pt idx="83">
                  <c:v>3.1</c:v>
                </c:pt>
                <c:pt idx="84">
                  <c:v>2.2999999999999998</c:v>
                </c:pt>
                <c:pt idx="85">
                  <c:v>2.2000000000000002</c:v>
                </c:pt>
                <c:pt idx="86">
                  <c:v>2.1</c:v>
                </c:pt>
                <c:pt idx="87">
                  <c:v>1.9</c:v>
                </c:pt>
                <c:pt idx="88">
                  <c:v>1.3</c:v>
                </c:pt>
                <c:pt idx="89">
                  <c:v>1.3</c:v>
                </c:pt>
                <c:pt idx="90">
                  <c:v>3.3</c:v>
                </c:pt>
                <c:pt idx="91">
                  <c:v>2.6</c:v>
                </c:pt>
                <c:pt idx="92">
                  <c:v>2.2999999999999998</c:v>
                </c:pt>
                <c:pt idx="93">
                  <c:v>0.6</c:v>
                </c:pt>
                <c:pt idx="94">
                  <c:v>-0.8</c:v>
                </c:pt>
                <c:pt idx="95">
                  <c:v>-1.7</c:v>
                </c:pt>
                <c:pt idx="96">
                  <c:v>-2.6</c:v>
                </c:pt>
                <c:pt idx="97">
                  <c:v>-3</c:v>
                </c:pt>
                <c:pt idx="98">
                  <c:v>-3.3</c:v>
                </c:pt>
                <c:pt idx="99">
                  <c:v>-2.2999999999999998</c:v>
                </c:pt>
                <c:pt idx="100">
                  <c:v>-0.7</c:v>
                </c:pt>
                <c:pt idx="101">
                  <c:v>1.2</c:v>
                </c:pt>
                <c:pt idx="102">
                  <c:v>0.4</c:v>
                </c:pt>
                <c:pt idx="103">
                  <c:v>0.1</c:v>
                </c:pt>
                <c:pt idx="104">
                  <c:v>1.6</c:v>
                </c:pt>
                <c:pt idx="105">
                  <c:v>1.5</c:v>
                </c:pt>
                <c:pt idx="106">
                  <c:v>2.2999999999999998</c:v>
                </c:pt>
                <c:pt idx="107">
                  <c:v>4.5999999999999996</c:v>
                </c:pt>
                <c:pt idx="108">
                  <c:v>5.6</c:v>
                </c:pt>
                <c:pt idx="109">
                  <c:v>6</c:v>
                </c:pt>
                <c:pt idx="110">
                  <c:v>7.2</c:v>
                </c:pt>
                <c:pt idx="111">
                  <c:v>6.2</c:v>
                </c:pt>
                <c:pt idx="112">
                  <c:v>4.9000000000000004</c:v>
                </c:pt>
                <c:pt idx="113">
                  <c:v>3.8</c:v>
                </c:pt>
                <c:pt idx="114">
                  <c:v>4.9000000000000004</c:v>
                </c:pt>
                <c:pt idx="115">
                  <c:v>5.9</c:v>
                </c:pt>
                <c:pt idx="116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50-4050-A050-D0A9EBB34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734368"/>
        <c:axId val="1167748288"/>
      </c:lineChart>
      <c:lineChart>
        <c:grouping val="standard"/>
        <c:varyColors val="0"/>
        <c:ser>
          <c:idx val="1"/>
          <c:order val="1"/>
          <c:tx>
            <c:strRef>
              <c:f>M1_YOY_M!$D$1</c:f>
              <c:strCache>
                <c:ptCount val="1"/>
                <c:pt idx="0">
                  <c:v> factor_value_level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M1_YOY_M!$B$2:$B$118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M1_YOY_M!$D$2:$D$118</c:f>
              <c:numCache>
                <c:formatCode>_(* #,##0.00_);_(* \(#,##0.00\);_(* "-"??_);_(@_)</c:formatCode>
                <c:ptCount val="117"/>
                <c:pt idx="0">
                  <c:v>2.2181620552823</c:v>
                </c:pt>
                <c:pt idx="1">
                  <c:v>1.5771915398485099</c:v>
                </c:pt>
                <c:pt idx="2">
                  <c:v>1.0386967982058299</c:v>
                </c:pt>
                <c:pt idx="3">
                  <c:v>0.59027149805039503</c:v>
                </c:pt>
                <c:pt idx="4">
                  <c:v>0.122860420851966</c:v>
                </c:pt>
                <c:pt idx="5">
                  <c:v>-0.29657539360832502</c:v>
                </c:pt>
                <c:pt idx="6">
                  <c:v>-2.2179241986156799</c:v>
                </c:pt>
                <c:pt idx="7">
                  <c:v>9.6185167151722095E-2</c:v>
                </c:pt>
                <c:pt idx="8">
                  <c:v>-0.63745942585552196</c:v>
                </c:pt>
                <c:pt idx="9">
                  <c:v>-0.62907568423594096</c:v>
                </c:pt>
                <c:pt idx="10">
                  <c:v>-0.94701713152600897</c:v>
                </c:pt>
                <c:pt idx="11">
                  <c:v>-1.33569007654603</c:v>
                </c:pt>
                <c:pt idx="12">
                  <c:v>-1.0059023171234101</c:v>
                </c:pt>
                <c:pt idx="13">
                  <c:v>-1.176999500088</c:v>
                </c:pt>
                <c:pt idx="14">
                  <c:v>-0.95649722548290095</c:v>
                </c:pt>
                <c:pt idx="15">
                  <c:v>-1.0472498559954999</c:v>
                </c:pt>
                <c:pt idx="16">
                  <c:v>-0.92749320803483404</c:v>
                </c:pt>
                <c:pt idx="17">
                  <c:v>-0.98992505689759203</c:v>
                </c:pt>
                <c:pt idx="18">
                  <c:v>6.6827783887817793E-2</c:v>
                </c:pt>
                <c:pt idx="19">
                  <c:v>-1.8285481641930601</c:v>
                </c:pt>
                <c:pt idx="20">
                  <c:v>-1.81156696275267</c:v>
                </c:pt>
                <c:pt idx="21">
                  <c:v>-1.3526833118180801</c:v>
                </c:pt>
                <c:pt idx="22">
                  <c:v>-1.37851596819546</c:v>
                </c:pt>
                <c:pt idx="23">
                  <c:v>-0.89539954579835102</c:v>
                </c:pt>
                <c:pt idx="24">
                  <c:v>-1.1155357316952199</c:v>
                </c:pt>
                <c:pt idx="25">
                  <c:v>-1.1889142711115701</c:v>
                </c:pt>
                <c:pt idx="26">
                  <c:v>-0.87427649748598102</c:v>
                </c:pt>
                <c:pt idx="27">
                  <c:v>-0.98643773785817301</c:v>
                </c:pt>
                <c:pt idx="28">
                  <c:v>-1.0340120611340999</c:v>
                </c:pt>
                <c:pt idx="29">
                  <c:v>-0.74925134246231795</c:v>
                </c:pt>
                <c:pt idx="30">
                  <c:v>-0.80887865704324902</c:v>
                </c:pt>
                <c:pt idx="31">
                  <c:v>-0.141933153061161</c:v>
                </c:pt>
                <c:pt idx="32">
                  <c:v>0.65233900531662203</c:v>
                </c:pt>
                <c:pt idx="33">
                  <c:v>0.22165764763086299</c:v>
                </c:pt>
                <c:pt idx="34">
                  <c:v>0.44609619379464299</c:v>
                </c:pt>
                <c:pt idx="35">
                  <c:v>0.76910543692390998</c:v>
                </c:pt>
                <c:pt idx="36">
                  <c:v>0.406907490266389</c:v>
                </c:pt>
                <c:pt idx="37">
                  <c:v>0.66644166264484705</c:v>
                </c:pt>
                <c:pt idx="38">
                  <c:v>0.837986731160974</c:v>
                </c:pt>
                <c:pt idx="39">
                  <c:v>0.96266209051592699</c:v>
                </c:pt>
                <c:pt idx="40">
                  <c:v>1.1812417195096201</c:v>
                </c:pt>
                <c:pt idx="41">
                  <c:v>1.62063794332782</c:v>
                </c:pt>
                <c:pt idx="42">
                  <c:v>-0.245492122404145</c:v>
                </c:pt>
                <c:pt idx="43">
                  <c:v>1.9771957443721899</c:v>
                </c:pt>
                <c:pt idx="44">
                  <c:v>1.9262959494481999</c:v>
                </c:pt>
                <c:pt idx="45">
                  <c:v>1.9080353020932901</c:v>
                </c:pt>
                <c:pt idx="46">
                  <c:v>2.1727652158748199</c:v>
                </c:pt>
                <c:pt idx="47">
                  <c:v>1.7228528782047201</c:v>
                </c:pt>
                <c:pt idx="48">
                  <c:v>1.6300426809439299</c:v>
                </c:pt>
                <c:pt idx="49">
                  <c:v>1.77895959424112</c:v>
                </c:pt>
                <c:pt idx="50">
                  <c:v>1.5383196474405101</c:v>
                </c:pt>
                <c:pt idx="51">
                  <c:v>1.6299000908172201</c:v>
                </c:pt>
                <c:pt idx="52">
                  <c:v>1.6464065172420299</c:v>
                </c:pt>
                <c:pt idx="53">
                  <c:v>0.95998470147424297</c:v>
                </c:pt>
                <c:pt idx="54">
                  <c:v>2.6262702727041001</c:v>
                </c:pt>
                <c:pt idx="55">
                  <c:v>7.4059353554976101E-2</c:v>
                </c:pt>
                <c:pt idx="56">
                  <c:v>-1.02245969329176E-2</c:v>
                </c:pt>
                <c:pt idx="57">
                  <c:v>-0.27044798612457199</c:v>
                </c:pt>
                <c:pt idx="58">
                  <c:v>-0.25749595296956601</c:v>
                </c:pt>
                <c:pt idx="59">
                  <c:v>-0.41391598671542401</c:v>
                </c:pt>
                <c:pt idx="60">
                  <c:v>-0.53797301498409</c:v>
                </c:pt>
                <c:pt idx="61">
                  <c:v>-0.696561479562534</c:v>
                </c:pt>
                <c:pt idx="62">
                  <c:v>-0.78448881922293601</c:v>
                </c:pt>
                <c:pt idx="63">
                  <c:v>-0.98954226143098001</c:v>
                </c:pt>
                <c:pt idx="64">
                  <c:v>-0.79222546438605201</c:v>
                </c:pt>
                <c:pt idx="65">
                  <c:v>-0.530859230319501</c:v>
                </c:pt>
                <c:pt idx="66">
                  <c:v>-2.6055190973370399</c:v>
                </c:pt>
                <c:pt idx="67">
                  <c:v>0.39054088593125402</c:v>
                </c:pt>
                <c:pt idx="68">
                  <c:v>0.30607832236406401</c:v>
                </c:pt>
                <c:pt idx="69">
                  <c:v>0.41013843440926301</c:v>
                </c:pt>
                <c:pt idx="70">
                  <c:v>0.133424360474167</c:v>
                </c:pt>
                <c:pt idx="71">
                  <c:v>0.55935622568100996</c:v>
                </c:pt>
                <c:pt idx="72">
                  <c:v>0.79938509220941101</c:v>
                </c:pt>
                <c:pt idx="73">
                  <c:v>0.40724237837257099</c:v>
                </c:pt>
                <c:pt idx="74">
                  <c:v>0.42930475809302898</c:v>
                </c:pt>
                <c:pt idx="75">
                  <c:v>0.10463732560587501</c:v>
                </c:pt>
                <c:pt idx="76">
                  <c:v>-0.39132466025518797</c:v>
                </c:pt>
                <c:pt idx="77">
                  <c:v>-0.68183794496670402</c:v>
                </c:pt>
                <c:pt idx="78">
                  <c:v>0.55947935408329996</c:v>
                </c:pt>
                <c:pt idx="79">
                  <c:v>6.7898091028970403E-2</c:v>
                </c:pt>
                <c:pt idx="80">
                  <c:v>-0.22481257234071</c:v>
                </c:pt>
                <c:pt idx="81">
                  <c:v>-0.113979772071128</c:v>
                </c:pt>
                <c:pt idx="82">
                  <c:v>-0.32938934673689901</c:v>
                </c:pt>
                <c:pt idx="83">
                  <c:v>-0.894012764218719</c:v>
                </c:pt>
                <c:pt idx="84">
                  <c:v>-1.03442284956957</c:v>
                </c:pt>
                <c:pt idx="85">
                  <c:v>-0.86119057003369903</c:v>
                </c:pt>
                <c:pt idx="86">
                  <c:v>-0.71294587334628601</c:v>
                </c:pt>
                <c:pt idx="87">
                  <c:v>-0.62433637631387096</c:v>
                </c:pt>
                <c:pt idx="88">
                  <c:v>-0.70844645363255498</c:v>
                </c:pt>
                <c:pt idx="89">
                  <c:v>-0.51863671495128005</c:v>
                </c:pt>
                <c:pt idx="90">
                  <c:v>0.516869580999057</c:v>
                </c:pt>
                <c:pt idx="91">
                  <c:v>0.34081865582238802</c:v>
                </c:pt>
                <c:pt idx="92">
                  <c:v>0.19635259301928601</c:v>
                </c:pt>
                <c:pt idx="93">
                  <c:v>-0.69430515976653195</c:v>
                </c:pt>
                <c:pt idx="94">
                  <c:v>-1.2666122347009401</c:v>
                </c:pt>
                <c:pt idx="95">
                  <c:v>-1.43041892676838</c:v>
                </c:pt>
                <c:pt idx="96">
                  <c:v>-1.5479800752639901</c:v>
                </c:pt>
                <c:pt idx="97">
                  <c:v>-1.3725495197806199</c:v>
                </c:pt>
                <c:pt idx="98">
                  <c:v>-1.1912452673645799</c:v>
                </c:pt>
                <c:pt idx="99">
                  <c:v>-0.40542477886946998</c:v>
                </c:pt>
                <c:pt idx="100">
                  <c:v>0.52654563475605498</c:v>
                </c:pt>
                <c:pt idx="101">
                  <c:v>1.4561720309781401</c:v>
                </c:pt>
                <c:pt idx="102">
                  <c:v>0.83831296833991797</c:v>
                </c:pt>
                <c:pt idx="103">
                  <c:v>0.60293295476890496</c:v>
                </c:pt>
                <c:pt idx="104">
                  <c:v>1.42537292070931</c:v>
                </c:pt>
                <c:pt idx="105">
                  <c:v>1.1761104105404301</c:v>
                </c:pt>
                <c:pt idx="106">
                  <c:v>1.4802441266223201</c:v>
                </c:pt>
                <c:pt idx="107">
                  <c:v>2.4799775086754998</c:v>
                </c:pt>
                <c:pt idx="108">
                  <c:v>2.4849866692542402</c:v>
                </c:pt>
                <c:pt idx="109">
                  <c:v>2.1893900366483598</c:v>
                </c:pt>
                <c:pt idx="110">
                  <c:v>2.2915303779707101</c:v>
                </c:pt>
                <c:pt idx="111">
                  <c:v>1.3945149047838299</c:v>
                </c:pt>
                <c:pt idx="112">
                  <c:v>0.61342034224284403</c:v>
                </c:pt>
                <c:pt idx="113">
                  <c:v>6.4144496943554605E-2</c:v>
                </c:pt>
                <c:pt idx="114">
                  <c:v>0.50427670025377502</c:v>
                </c:pt>
                <c:pt idx="115">
                  <c:v>0.861568265490674</c:v>
                </c:pt>
                <c:pt idx="116">
                  <c:v>0.39466945691327998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50-4050-A050-D0A9EBB34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740608"/>
        <c:axId val="1167748768"/>
      </c:lineChart>
      <c:dateAx>
        <c:axId val="1167734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7748288"/>
        <c:crosses val="autoZero"/>
        <c:auto val="1"/>
        <c:lblOffset val="100"/>
        <c:baseTimeUnit val="months"/>
      </c:dateAx>
      <c:valAx>
        <c:axId val="116774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7734368"/>
        <c:crosses val="autoZero"/>
        <c:crossBetween val="between"/>
      </c:valAx>
      <c:valAx>
        <c:axId val="1167748768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7740608"/>
        <c:crosses val="max"/>
        <c:crossBetween val="between"/>
      </c:valAx>
      <c:dateAx>
        <c:axId val="11677406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774876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M2_YOY_M Raw VS. Factor_value_level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M2_YOY_M!$C$1</c:f>
              <c:strCache>
                <c:ptCount val="1"/>
                <c:pt idx="0">
                  <c:v>raw_data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M2_YOY_M!$B$2:$B$118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M2_YOY_M!$C$2:$C$118</c:f>
              <c:numCache>
                <c:formatCode>General</c:formatCode>
                <c:ptCount val="117"/>
                <c:pt idx="0">
                  <c:v>10.199999999999999</c:v>
                </c:pt>
                <c:pt idx="1">
                  <c:v>11.4</c:v>
                </c:pt>
                <c:pt idx="2">
                  <c:v>11.5</c:v>
                </c:pt>
                <c:pt idx="3">
                  <c:v>11.6</c:v>
                </c:pt>
                <c:pt idx="4">
                  <c:v>11.4</c:v>
                </c:pt>
                <c:pt idx="5">
                  <c:v>11.3</c:v>
                </c:pt>
                <c:pt idx="6">
                  <c:v>10.7</c:v>
                </c:pt>
                <c:pt idx="7">
                  <c:v>10.4</c:v>
                </c:pt>
                <c:pt idx="8">
                  <c:v>10.1</c:v>
                </c:pt>
                <c:pt idx="9">
                  <c:v>9.8000000000000007</c:v>
                </c:pt>
                <c:pt idx="10">
                  <c:v>9.1</c:v>
                </c:pt>
                <c:pt idx="11">
                  <c:v>9.1</c:v>
                </c:pt>
                <c:pt idx="12">
                  <c:v>8.9</c:v>
                </c:pt>
                <c:pt idx="13">
                  <c:v>8.6</c:v>
                </c:pt>
                <c:pt idx="14">
                  <c:v>9</c:v>
                </c:pt>
                <c:pt idx="15">
                  <c:v>8.9</c:v>
                </c:pt>
                <c:pt idx="16">
                  <c:v>9.1</c:v>
                </c:pt>
                <c:pt idx="17">
                  <c:v>8.1</c:v>
                </c:pt>
                <c:pt idx="18">
                  <c:v>8.6</c:v>
                </c:pt>
                <c:pt idx="19">
                  <c:v>8.8000000000000007</c:v>
                </c:pt>
                <c:pt idx="20">
                  <c:v>8.1999999999999993</c:v>
                </c:pt>
                <c:pt idx="21">
                  <c:v>8.3000000000000007</c:v>
                </c:pt>
                <c:pt idx="22">
                  <c:v>8.3000000000000007</c:v>
                </c:pt>
                <c:pt idx="23">
                  <c:v>8</c:v>
                </c:pt>
                <c:pt idx="24">
                  <c:v>8.5</c:v>
                </c:pt>
                <c:pt idx="25">
                  <c:v>8.1999999999999993</c:v>
                </c:pt>
                <c:pt idx="26">
                  <c:v>8.3000000000000007</c:v>
                </c:pt>
                <c:pt idx="27">
                  <c:v>8</c:v>
                </c:pt>
                <c:pt idx="28">
                  <c:v>8</c:v>
                </c:pt>
                <c:pt idx="29">
                  <c:v>8.1</c:v>
                </c:pt>
                <c:pt idx="30">
                  <c:v>8.4</c:v>
                </c:pt>
                <c:pt idx="31">
                  <c:v>8</c:v>
                </c:pt>
                <c:pt idx="32">
                  <c:v>8.6</c:v>
                </c:pt>
                <c:pt idx="33">
                  <c:v>8.5</c:v>
                </c:pt>
                <c:pt idx="34">
                  <c:v>8.5</c:v>
                </c:pt>
                <c:pt idx="35">
                  <c:v>8.5</c:v>
                </c:pt>
                <c:pt idx="36">
                  <c:v>8.1</c:v>
                </c:pt>
                <c:pt idx="37">
                  <c:v>8.1999999999999993</c:v>
                </c:pt>
                <c:pt idx="38">
                  <c:v>8.4</c:v>
                </c:pt>
                <c:pt idx="39">
                  <c:v>8.4</c:v>
                </c:pt>
                <c:pt idx="40">
                  <c:v>8.1999999999999993</c:v>
                </c:pt>
                <c:pt idx="41">
                  <c:v>8.6999999999999993</c:v>
                </c:pt>
                <c:pt idx="42">
                  <c:v>8.4</c:v>
                </c:pt>
                <c:pt idx="43">
                  <c:v>8.8000000000000007</c:v>
                </c:pt>
                <c:pt idx="44">
                  <c:v>10.1</c:v>
                </c:pt>
                <c:pt idx="45">
                  <c:v>11.1</c:v>
                </c:pt>
                <c:pt idx="46">
                  <c:v>11.1</c:v>
                </c:pt>
                <c:pt idx="47">
                  <c:v>11.1</c:v>
                </c:pt>
                <c:pt idx="48">
                  <c:v>10.7</c:v>
                </c:pt>
                <c:pt idx="49">
                  <c:v>10.4</c:v>
                </c:pt>
                <c:pt idx="50">
                  <c:v>10.9</c:v>
                </c:pt>
                <c:pt idx="51">
                  <c:v>10.5</c:v>
                </c:pt>
                <c:pt idx="52">
                  <c:v>10.7</c:v>
                </c:pt>
                <c:pt idx="53">
                  <c:v>10.1</c:v>
                </c:pt>
                <c:pt idx="54">
                  <c:v>9.4</c:v>
                </c:pt>
                <c:pt idx="55">
                  <c:v>10.1</c:v>
                </c:pt>
                <c:pt idx="56">
                  <c:v>9.4</c:v>
                </c:pt>
                <c:pt idx="57">
                  <c:v>8.1</c:v>
                </c:pt>
                <c:pt idx="58">
                  <c:v>8.3000000000000007</c:v>
                </c:pt>
                <c:pt idx="59">
                  <c:v>8.6</c:v>
                </c:pt>
                <c:pt idx="60">
                  <c:v>8.3000000000000007</c:v>
                </c:pt>
                <c:pt idx="61">
                  <c:v>8.1999999999999993</c:v>
                </c:pt>
                <c:pt idx="62">
                  <c:v>8.3000000000000007</c:v>
                </c:pt>
                <c:pt idx="63">
                  <c:v>8.6999999999999993</c:v>
                </c:pt>
                <c:pt idx="64">
                  <c:v>8.5</c:v>
                </c:pt>
                <c:pt idx="65">
                  <c:v>9</c:v>
                </c:pt>
                <c:pt idx="66">
                  <c:v>9.8000000000000007</c:v>
                </c:pt>
                <c:pt idx="67">
                  <c:v>9.1999999999999993</c:v>
                </c:pt>
                <c:pt idx="68">
                  <c:v>9.6999999999999993</c:v>
                </c:pt>
                <c:pt idx="69">
                  <c:v>10.5</c:v>
                </c:pt>
                <c:pt idx="70">
                  <c:v>11.1</c:v>
                </c:pt>
                <c:pt idx="71">
                  <c:v>11.4</c:v>
                </c:pt>
                <c:pt idx="72">
                  <c:v>12</c:v>
                </c:pt>
                <c:pt idx="73">
                  <c:v>12.2</c:v>
                </c:pt>
                <c:pt idx="74">
                  <c:v>12.1</c:v>
                </c:pt>
                <c:pt idx="75">
                  <c:v>11.8</c:v>
                </c:pt>
                <c:pt idx="76">
                  <c:v>12.4</c:v>
                </c:pt>
                <c:pt idx="77">
                  <c:v>11.8</c:v>
                </c:pt>
                <c:pt idx="78">
                  <c:v>12.6</c:v>
                </c:pt>
                <c:pt idx="79">
                  <c:v>12.9</c:v>
                </c:pt>
                <c:pt idx="80">
                  <c:v>12.7</c:v>
                </c:pt>
                <c:pt idx="81">
                  <c:v>12.4</c:v>
                </c:pt>
                <c:pt idx="82">
                  <c:v>11.6</c:v>
                </c:pt>
                <c:pt idx="83">
                  <c:v>11.3</c:v>
                </c:pt>
                <c:pt idx="84">
                  <c:v>10.7</c:v>
                </c:pt>
                <c:pt idx="85">
                  <c:v>10.6</c:v>
                </c:pt>
                <c:pt idx="86">
                  <c:v>10.3</c:v>
                </c:pt>
                <c:pt idx="87">
                  <c:v>10.3</c:v>
                </c:pt>
                <c:pt idx="88">
                  <c:v>10</c:v>
                </c:pt>
                <c:pt idx="89">
                  <c:v>9.6999999999999993</c:v>
                </c:pt>
                <c:pt idx="90">
                  <c:v>8.6999999999999993</c:v>
                </c:pt>
                <c:pt idx="91">
                  <c:v>8.6999999999999993</c:v>
                </c:pt>
                <c:pt idx="92">
                  <c:v>8.3000000000000007</c:v>
                </c:pt>
                <c:pt idx="93">
                  <c:v>7.2</c:v>
                </c:pt>
                <c:pt idx="94">
                  <c:v>7</c:v>
                </c:pt>
                <c:pt idx="95">
                  <c:v>6.2</c:v>
                </c:pt>
                <c:pt idx="96">
                  <c:v>6.3</c:v>
                </c:pt>
                <c:pt idx="97">
                  <c:v>6.3</c:v>
                </c:pt>
                <c:pt idx="98">
                  <c:v>6.8</c:v>
                </c:pt>
                <c:pt idx="99">
                  <c:v>7.5</c:v>
                </c:pt>
                <c:pt idx="100">
                  <c:v>7.1</c:v>
                </c:pt>
                <c:pt idx="101">
                  <c:v>7.3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8</c:v>
                </c:pt>
                <c:pt idx="106">
                  <c:v>7.9</c:v>
                </c:pt>
                <c:pt idx="107">
                  <c:v>8.3000000000000007</c:v>
                </c:pt>
                <c:pt idx="108">
                  <c:v>8.8000000000000007</c:v>
                </c:pt>
                <c:pt idx="109">
                  <c:v>8.8000000000000007</c:v>
                </c:pt>
                <c:pt idx="110">
                  <c:v>8.4</c:v>
                </c:pt>
                <c:pt idx="111">
                  <c:v>8.1999999999999993</c:v>
                </c:pt>
                <c:pt idx="112">
                  <c:v>8</c:v>
                </c:pt>
                <c:pt idx="113">
                  <c:v>8.5</c:v>
                </c:pt>
                <c:pt idx="114">
                  <c:v>9</c:v>
                </c:pt>
                <c:pt idx="115">
                  <c:v>9</c:v>
                </c:pt>
                <c:pt idx="116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C-46C0-BBE3-36BDA90F1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96799"/>
        <c:axId val="591308799"/>
      </c:lineChart>
      <c:lineChart>
        <c:grouping val="standard"/>
        <c:varyColors val="0"/>
        <c:ser>
          <c:idx val="1"/>
          <c:order val="1"/>
          <c:tx>
            <c:strRef>
              <c:f>M2_YOY_M!$D$1</c:f>
              <c:strCache>
                <c:ptCount val="1"/>
                <c:pt idx="0">
                  <c:v> factor_value_level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M2_YOY_M!$B$2:$B$118</c:f>
              <c:numCache>
                <c:formatCode>m/d/yyyy</c:formatCode>
                <c:ptCount val="117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M2_YOY_M!$D$2:$D$118</c:f>
              <c:numCache>
                <c:formatCode>_(* #,##0.00_);_(* \(#,##0.00\);_(* "-"??_);_(@_)</c:formatCode>
                <c:ptCount val="117"/>
                <c:pt idx="0">
                  <c:v>-2.0190818572871199</c:v>
                </c:pt>
                <c:pt idx="1">
                  <c:v>-0.549300171954752</c:v>
                </c:pt>
                <c:pt idx="2">
                  <c:v>-0.3505407828928</c:v>
                </c:pt>
                <c:pt idx="3">
                  <c:v>-0.18449552699353999</c:v>
                </c:pt>
                <c:pt idx="4">
                  <c:v>-0.29488714347864697</c:v>
                </c:pt>
                <c:pt idx="5">
                  <c:v>-0.30184717056032301</c:v>
                </c:pt>
                <c:pt idx="6">
                  <c:v>-0.74235304055754203</c:v>
                </c:pt>
                <c:pt idx="7">
                  <c:v>-0.83809918699141095</c:v>
                </c:pt>
                <c:pt idx="8">
                  <c:v>-0.91194104353862704</c:v>
                </c:pt>
                <c:pt idx="9">
                  <c:v>-0.96716342847651204</c:v>
                </c:pt>
                <c:pt idx="10">
                  <c:v>-1.36293963595349</c:v>
                </c:pt>
                <c:pt idx="11">
                  <c:v>-1.04089458351706</c:v>
                </c:pt>
                <c:pt idx="12">
                  <c:v>-0.96368293646037895</c:v>
                </c:pt>
                <c:pt idx="13">
                  <c:v>-0.98668759056871902</c:v>
                </c:pt>
                <c:pt idx="14">
                  <c:v>-0.38567066925522703</c:v>
                </c:pt>
                <c:pt idx="15">
                  <c:v>-0.33495593738859097</c:v>
                </c:pt>
                <c:pt idx="16">
                  <c:v>-2.064246477985E-2</c:v>
                </c:pt>
                <c:pt idx="17">
                  <c:v>-0.85565573208683698</c:v>
                </c:pt>
                <c:pt idx="18">
                  <c:v>-0.16355115535592099</c:v>
                </c:pt>
                <c:pt idx="19">
                  <c:v>0.12342554864239801</c:v>
                </c:pt>
                <c:pt idx="20">
                  <c:v>-0.34159408273060299</c:v>
                </c:pt>
                <c:pt idx="21">
                  <c:v>-8.5693110563322697E-2</c:v>
                </c:pt>
                <c:pt idx="22">
                  <c:v>-1.8342190252776301E-2</c:v>
                </c:pt>
                <c:pt idx="23">
                  <c:v>-0.24544432276721201</c:v>
                </c:pt>
                <c:pt idx="24">
                  <c:v>0.38569400015476601</c:v>
                </c:pt>
                <c:pt idx="25">
                  <c:v>0.165391787626538</c:v>
                </c:pt>
                <c:pt idx="26">
                  <c:v>0.408774420118174</c:v>
                </c:pt>
                <c:pt idx="27">
                  <c:v>0.16817261421728799</c:v>
                </c:pt>
                <c:pt idx="28">
                  <c:v>0.33644999392805303</c:v>
                </c:pt>
                <c:pt idx="29">
                  <c:v>0.65468734117143601</c:v>
                </c:pt>
                <c:pt idx="30">
                  <c:v>1.19786387974903</c:v>
                </c:pt>
                <c:pt idx="31">
                  <c:v>0.774133952881638</c:v>
                </c:pt>
                <c:pt idx="32">
                  <c:v>1.9210147584570501</c:v>
                </c:pt>
                <c:pt idx="33">
                  <c:v>1.7058345304424201</c:v>
                </c:pt>
                <c:pt idx="34">
                  <c:v>1.58996542567437</c:v>
                </c:pt>
                <c:pt idx="35">
                  <c:v>1.4665369223090801</c:v>
                </c:pt>
                <c:pt idx="36">
                  <c:v>0.72362098343070702</c:v>
                </c:pt>
                <c:pt idx="37">
                  <c:v>0.96559665493142699</c:v>
                </c:pt>
                <c:pt idx="38">
                  <c:v>1.3192448821027001</c:v>
                </c:pt>
                <c:pt idx="39">
                  <c:v>1.2394100768829199</c:v>
                </c:pt>
                <c:pt idx="40">
                  <c:v>0.84066355300059303</c:v>
                </c:pt>
                <c:pt idx="41">
                  <c:v>1.69565927810884</c:v>
                </c:pt>
                <c:pt idx="42">
                  <c:v>1.01191778079799</c:v>
                </c:pt>
                <c:pt idx="43">
                  <c:v>1.59896280200105</c:v>
                </c:pt>
                <c:pt idx="44">
                  <c:v>3</c:v>
                </c:pt>
                <c:pt idx="45">
                  <c:v>3</c:v>
                </c:pt>
                <c:pt idx="46">
                  <c:v>2.8266637803806098</c:v>
                </c:pt>
                <c:pt idx="47">
                  <c:v>2.2042590632280201</c:v>
                </c:pt>
                <c:pt idx="48">
                  <c:v>1.3126372600395</c:v>
                </c:pt>
                <c:pt idx="49">
                  <c:v>0.73658327620717801</c:v>
                </c:pt>
                <c:pt idx="50">
                  <c:v>1.16706247734663</c:v>
                </c:pt>
                <c:pt idx="51">
                  <c:v>0.46488206601960502</c:v>
                </c:pt>
                <c:pt idx="52">
                  <c:v>0.58211231997486701</c:v>
                </c:pt>
                <c:pt idx="53">
                  <c:v>-0.26454300663846497</c:v>
                </c:pt>
                <c:pt idx="54">
                  <c:v>-1.17567842831373</c:v>
                </c:pt>
                <c:pt idx="55">
                  <c:v>-0.151849692933826</c:v>
                </c:pt>
                <c:pt idx="56">
                  <c:v>-1.05051153224168</c:v>
                </c:pt>
                <c:pt idx="57">
                  <c:v>-2.5918786515027898</c:v>
                </c:pt>
                <c:pt idx="58">
                  <c:v>-1.79943893513491</c:v>
                </c:pt>
                <c:pt idx="59">
                  <c:v>-1.12986710770577</c:v>
                </c:pt>
                <c:pt idx="60">
                  <c:v>-1.3152395083942501</c:v>
                </c:pt>
                <c:pt idx="61">
                  <c:v>-1.1939133826836801</c:v>
                </c:pt>
                <c:pt idx="62">
                  <c:v>-0.88577938401420298</c:v>
                </c:pt>
                <c:pt idx="63">
                  <c:v>-0.307245651973789</c:v>
                </c:pt>
                <c:pt idx="64">
                  <c:v>-0.50161966364385302</c:v>
                </c:pt>
                <c:pt idx="65">
                  <c:v>0.108029641941347</c:v>
                </c:pt>
                <c:pt idx="66">
                  <c:v>0.94343077829418898</c:v>
                </c:pt>
                <c:pt idx="67">
                  <c:v>9.4916815539583504E-2</c:v>
                </c:pt>
                <c:pt idx="68">
                  <c:v>0.58925196165791105</c:v>
                </c:pt>
                <c:pt idx="69">
                  <c:v>1.33137362724623</c:v>
                </c:pt>
                <c:pt idx="70">
                  <c:v>1.67655402182183</c:v>
                </c:pt>
                <c:pt idx="71">
                  <c:v>1.5988317191574799</c:v>
                </c:pt>
                <c:pt idx="72">
                  <c:v>1.81996521230232</c:v>
                </c:pt>
                <c:pt idx="73">
                  <c:v>1.56814599329246</c:v>
                </c:pt>
                <c:pt idx="74">
                  <c:v>1.0939231398551901</c:v>
                </c:pt>
                <c:pt idx="75">
                  <c:v>0.54648957828866795</c:v>
                </c:pt>
                <c:pt idx="76">
                  <c:v>0.91919228800369301</c:v>
                </c:pt>
                <c:pt idx="77">
                  <c:v>0.127936363999507</c:v>
                </c:pt>
                <c:pt idx="78">
                  <c:v>0.75041829823517803</c:v>
                </c:pt>
                <c:pt idx="79">
                  <c:v>0.79627797353040397</c:v>
                </c:pt>
                <c:pt idx="80">
                  <c:v>0.38940408687455202</c:v>
                </c:pt>
                <c:pt idx="81">
                  <c:v>-1.03796897903207E-3</c:v>
                </c:pt>
                <c:pt idx="82">
                  <c:v>-0.78306015371659399</c:v>
                </c:pt>
                <c:pt idx="83">
                  <c:v>-0.97768999232686005</c:v>
                </c:pt>
                <c:pt idx="84">
                  <c:v>-1.4195328523853901</c:v>
                </c:pt>
                <c:pt idx="85">
                  <c:v>-1.2709953546903801</c:v>
                </c:pt>
                <c:pt idx="86">
                  <c:v>-1.3362205786078001</c:v>
                </c:pt>
                <c:pt idx="87">
                  <c:v>-1.0960611809782399</c:v>
                </c:pt>
                <c:pt idx="88">
                  <c:v>-1.1768389942923301</c:v>
                </c:pt>
                <c:pt idx="89">
                  <c:v>-1.2263902934683</c:v>
                </c:pt>
                <c:pt idx="90">
                  <c:v>-1.8711642893168401</c:v>
                </c:pt>
                <c:pt idx="91">
                  <c:v>-1.5060366198424899</c:v>
                </c:pt>
                <c:pt idx="92">
                  <c:v>-1.52675881787222</c:v>
                </c:pt>
                <c:pt idx="93">
                  <c:v>-2.0942930801639901</c:v>
                </c:pt>
                <c:pt idx="94">
                  <c:v>-1.8504252841664801</c:v>
                </c:pt>
                <c:pt idx="95">
                  <c:v>-2.0768142530301401</c:v>
                </c:pt>
                <c:pt idx="96">
                  <c:v>-1.5506558924431799</c:v>
                </c:pt>
                <c:pt idx="97">
                  <c:v>-1.2388777346487401</c:v>
                </c:pt>
                <c:pt idx="98">
                  <c:v>-0.66205086507690003</c:v>
                </c:pt>
                <c:pt idx="99">
                  <c:v>-6.5491548453011403E-2</c:v>
                </c:pt>
                <c:pt idx="100">
                  <c:v>-0.29876587144411898</c:v>
                </c:pt>
                <c:pt idx="101">
                  <c:v>-9.4153705674461796E-2</c:v>
                </c:pt>
                <c:pt idx="102">
                  <c:v>-0.247471429815149</c:v>
                </c:pt>
                <c:pt idx="103">
                  <c:v>-0.159103816560177</c:v>
                </c:pt>
                <c:pt idx="104">
                  <c:v>-9.3845640632431906E-2</c:v>
                </c:pt>
                <c:pt idx="105">
                  <c:v>0.64458306346054395</c:v>
                </c:pt>
                <c:pt idx="106">
                  <c:v>0.53158994200483001</c:v>
                </c:pt>
                <c:pt idx="107">
                  <c:v>0.80437239513773495</c:v>
                </c:pt>
                <c:pt idx="108">
                  <c:v>1.11830124173646</c:v>
                </c:pt>
                <c:pt idx="109">
                  <c:v>1.04070673465977</c:v>
                </c:pt>
                <c:pt idx="110">
                  <c:v>0.67545652585822102</c:v>
                </c:pt>
                <c:pt idx="111">
                  <c:v>0.51211161471912903</c:v>
                </c:pt>
                <c:pt idx="112">
                  <c:v>0.360932365035806</c:v>
                </c:pt>
                <c:pt idx="113">
                  <c:v>0.83298101882787601</c:v>
                </c:pt>
                <c:pt idx="114">
                  <c:v>1.20114036138529</c:v>
                </c:pt>
                <c:pt idx="115">
                  <c:v>1.1175576479412599</c:v>
                </c:pt>
                <c:pt idx="116">
                  <c:v>0.62927193895466904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AC-46C0-BBE3-36BDA90F1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317919"/>
        <c:axId val="591315519"/>
      </c:lineChart>
      <c:dateAx>
        <c:axId val="5912967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308799"/>
        <c:crosses val="autoZero"/>
        <c:auto val="1"/>
        <c:lblOffset val="100"/>
        <c:baseTimeUnit val="months"/>
      </c:dateAx>
      <c:valAx>
        <c:axId val="59130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296799"/>
        <c:crosses val="autoZero"/>
        <c:crossBetween val="between"/>
      </c:valAx>
      <c:valAx>
        <c:axId val="591315519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317919"/>
        <c:crosses val="max"/>
        <c:crossBetween val="between"/>
      </c:valAx>
      <c:dateAx>
        <c:axId val="59131791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913155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M1M2_DIFF_M</a:t>
            </a:r>
            <a:r>
              <a:rPr lang="en-US" altLang="zh-CN" baseline="0"/>
              <a:t> Raw VS. Factor_value_level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M1M2_DIFF_M!$C$1</c:f>
              <c:strCache>
                <c:ptCount val="1"/>
                <c:pt idx="0">
                  <c:v>raw_data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M1M2_DIFF_M!$B$2:$B$234</c:f>
              <c:numCache>
                <c:formatCode>m/d/yyyy</c:formatCode>
                <c:ptCount val="233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M1M2_DIFF_M!$C$2:$C$234</c:f>
              <c:numCache>
                <c:formatCode>General</c:formatCode>
                <c:ptCount val="233"/>
                <c:pt idx="0">
                  <c:v>15.2</c:v>
                </c:pt>
                <c:pt idx="1">
                  <c:v>13.9</c:v>
                </c:pt>
                <c:pt idx="2">
                  <c:v>13.2</c:v>
                </c:pt>
                <c:pt idx="3">
                  <c:v>12.299999999999999</c:v>
                </c:pt>
                <c:pt idx="4">
                  <c:v>11.299999999999999</c:v>
                </c:pt>
                <c:pt idx="5">
                  <c:v>10.099999999999998</c:v>
                </c:pt>
                <c:pt idx="6">
                  <c:v>3.8000000000000007</c:v>
                </c:pt>
                <c:pt idx="7">
                  <c:v>10.999999999999998</c:v>
                </c:pt>
                <c:pt idx="8">
                  <c:v>8.7000000000000011</c:v>
                </c:pt>
                <c:pt idx="9">
                  <c:v>8.6999999999999993</c:v>
                </c:pt>
                <c:pt idx="10">
                  <c:v>7.9</c:v>
                </c:pt>
                <c:pt idx="11">
                  <c:v>5.9</c:v>
                </c:pt>
                <c:pt idx="12">
                  <c:v>6.4</c:v>
                </c:pt>
                <c:pt idx="13">
                  <c:v>5.4</c:v>
                </c:pt>
                <c:pt idx="14">
                  <c:v>5</c:v>
                </c:pt>
                <c:pt idx="15">
                  <c:v>4.0999999999999996</c:v>
                </c:pt>
                <c:pt idx="16">
                  <c:v>3.5999999999999996</c:v>
                </c:pt>
                <c:pt idx="17">
                  <c:v>3.7000000000000011</c:v>
                </c:pt>
                <c:pt idx="18">
                  <c:v>6.4</c:v>
                </c:pt>
                <c:pt idx="19">
                  <c:v>-0.30000000000000071</c:v>
                </c:pt>
                <c:pt idx="20">
                  <c:v>-1.0999999999999996</c:v>
                </c:pt>
                <c:pt idx="21">
                  <c:v>-1.1000000000000005</c:v>
                </c:pt>
                <c:pt idx="22">
                  <c:v>-2.3000000000000007</c:v>
                </c:pt>
                <c:pt idx="23">
                  <c:v>-1.4000000000000004</c:v>
                </c:pt>
                <c:pt idx="24">
                  <c:v>-3.4000000000000004</c:v>
                </c:pt>
                <c:pt idx="25">
                  <c:v>-4.2999999999999989</c:v>
                </c:pt>
                <c:pt idx="26">
                  <c:v>-4.3000000000000007</c:v>
                </c:pt>
                <c:pt idx="27">
                  <c:v>-5.3</c:v>
                </c:pt>
                <c:pt idx="28">
                  <c:v>-6.5</c:v>
                </c:pt>
                <c:pt idx="29">
                  <c:v>-6.6</c:v>
                </c:pt>
                <c:pt idx="30">
                  <c:v>-8</c:v>
                </c:pt>
                <c:pt idx="31">
                  <c:v>-6</c:v>
                </c:pt>
                <c:pt idx="32">
                  <c:v>-4</c:v>
                </c:pt>
                <c:pt idx="33">
                  <c:v>-5.6</c:v>
                </c:pt>
                <c:pt idx="34">
                  <c:v>-5.0999999999999996</c:v>
                </c:pt>
                <c:pt idx="35">
                  <c:v>-4.0999999999999996</c:v>
                </c:pt>
                <c:pt idx="36">
                  <c:v>-5</c:v>
                </c:pt>
                <c:pt idx="37">
                  <c:v>-4.7999999999999989</c:v>
                </c:pt>
                <c:pt idx="38">
                  <c:v>-5</c:v>
                </c:pt>
                <c:pt idx="39">
                  <c:v>-5.1000000000000005</c:v>
                </c:pt>
                <c:pt idx="40">
                  <c:v>-4.6999999999999993</c:v>
                </c:pt>
                <c:pt idx="41">
                  <c:v>-4.2999999999999989</c:v>
                </c:pt>
                <c:pt idx="42">
                  <c:v>-8.4</c:v>
                </c:pt>
                <c:pt idx="43">
                  <c:v>-4.0000000000000009</c:v>
                </c:pt>
                <c:pt idx="44">
                  <c:v>-5.0999999999999996</c:v>
                </c:pt>
                <c:pt idx="45">
                  <c:v>-5.6</c:v>
                </c:pt>
                <c:pt idx="46">
                  <c:v>-4.3</c:v>
                </c:pt>
                <c:pt idx="47">
                  <c:v>-4.5999999999999996</c:v>
                </c:pt>
                <c:pt idx="48">
                  <c:v>-3.7999999999999989</c:v>
                </c:pt>
                <c:pt idx="49">
                  <c:v>-2.4000000000000004</c:v>
                </c:pt>
                <c:pt idx="50">
                  <c:v>-2.8000000000000007</c:v>
                </c:pt>
                <c:pt idx="51">
                  <c:v>-1.4000000000000004</c:v>
                </c:pt>
                <c:pt idx="52">
                  <c:v>-0.69999999999999929</c:v>
                </c:pt>
                <c:pt idx="53">
                  <c:v>-1.5</c:v>
                </c:pt>
                <c:pt idx="54">
                  <c:v>5.2999999999999989</c:v>
                </c:pt>
                <c:pt idx="55">
                  <c:v>-2.6999999999999993</c:v>
                </c:pt>
                <c:pt idx="56">
                  <c:v>-2.3000000000000007</c:v>
                </c:pt>
                <c:pt idx="57">
                  <c:v>-1.8999999999999995</c:v>
                </c:pt>
                <c:pt idx="58">
                  <c:v>-2.2000000000000011</c:v>
                </c:pt>
                <c:pt idx="59">
                  <c:v>-3.0999999999999996</c:v>
                </c:pt>
                <c:pt idx="60">
                  <c:v>-3.4000000000000004</c:v>
                </c:pt>
                <c:pt idx="61">
                  <c:v>-3.9999999999999991</c:v>
                </c:pt>
                <c:pt idx="62">
                  <c:v>-4.6000000000000005</c:v>
                </c:pt>
                <c:pt idx="63">
                  <c:v>-5.8999999999999995</c:v>
                </c:pt>
                <c:pt idx="64">
                  <c:v>-5.5</c:v>
                </c:pt>
                <c:pt idx="65">
                  <c:v>-5.5</c:v>
                </c:pt>
                <c:pt idx="66">
                  <c:v>-11.700000000000001</c:v>
                </c:pt>
                <c:pt idx="67">
                  <c:v>-4.4999999999999991</c:v>
                </c:pt>
                <c:pt idx="68">
                  <c:v>-4.9999999999999991</c:v>
                </c:pt>
                <c:pt idx="69">
                  <c:v>-5.4</c:v>
                </c:pt>
                <c:pt idx="70">
                  <c:v>-6.5</c:v>
                </c:pt>
                <c:pt idx="71">
                  <c:v>-5.6000000000000005</c:v>
                </c:pt>
                <c:pt idx="72">
                  <c:v>-5.3</c:v>
                </c:pt>
                <c:pt idx="73">
                  <c:v>-6.1</c:v>
                </c:pt>
                <c:pt idx="74">
                  <c:v>-5.6999999999999993</c:v>
                </c:pt>
                <c:pt idx="75">
                  <c:v>-6.0000000000000009</c:v>
                </c:pt>
                <c:pt idx="76">
                  <c:v>-7.8000000000000007</c:v>
                </c:pt>
                <c:pt idx="77">
                  <c:v>-8.1000000000000014</c:v>
                </c:pt>
                <c:pt idx="78">
                  <c:v>-5.8999999999999995</c:v>
                </c:pt>
                <c:pt idx="79">
                  <c:v>-7.1000000000000005</c:v>
                </c:pt>
                <c:pt idx="80">
                  <c:v>-7.6</c:v>
                </c:pt>
                <c:pt idx="81">
                  <c:v>-7.1000000000000005</c:v>
                </c:pt>
                <c:pt idx="82">
                  <c:v>-6.8999999999999995</c:v>
                </c:pt>
                <c:pt idx="83">
                  <c:v>-8.2000000000000011</c:v>
                </c:pt>
                <c:pt idx="84">
                  <c:v>-8.3999999999999986</c:v>
                </c:pt>
                <c:pt idx="85">
                  <c:v>-8.3999999999999986</c:v>
                </c:pt>
                <c:pt idx="86">
                  <c:v>-8.2000000000000011</c:v>
                </c:pt>
                <c:pt idx="87">
                  <c:v>-8.4</c:v>
                </c:pt>
                <c:pt idx="88">
                  <c:v>-8.6999999999999993</c:v>
                </c:pt>
                <c:pt idx="89">
                  <c:v>-8.3999999999999986</c:v>
                </c:pt>
                <c:pt idx="90">
                  <c:v>-5.3999999999999995</c:v>
                </c:pt>
                <c:pt idx="91">
                  <c:v>-6.1</c:v>
                </c:pt>
                <c:pt idx="92">
                  <c:v>-6.0000000000000009</c:v>
                </c:pt>
                <c:pt idx="93">
                  <c:v>-6.6000000000000005</c:v>
                </c:pt>
                <c:pt idx="94">
                  <c:v>-7.8</c:v>
                </c:pt>
                <c:pt idx="95">
                  <c:v>-7.9</c:v>
                </c:pt>
                <c:pt idx="96">
                  <c:v>-8.9</c:v>
                </c:pt>
                <c:pt idx="97">
                  <c:v>-9.3000000000000007</c:v>
                </c:pt>
                <c:pt idx="98">
                  <c:v>-10.1</c:v>
                </c:pt>
                <c:pt idx="99">
                  <c:v>-9.8000000000000007</c:v>
                </c:pt>
                <c:pt idx="100">
                  <c:v>-7.8</c:v>
                </c:pt>
                <c:pt idx="101">
                  <c:v>-6.1</c:v>
                </c:pt>
                <c:pt idx="102">
                  <c:v>-6.6</c:v>
                </c:pt>
                <c:pt idx="103">
                  <c:v>-6.9</c:v>
                </c:pt>
                <c:pt idx="104">
                  <c:v>-5.4</c:v>
                </c:pt>
                <c:pt idx="105">
                  <c:v>-6.5</c:v>
                </c:pt>
                <c:pt idx="106">
                  <c:v>-5.6000000000000005</c:v>
                </c:pt>
                <c:pt idx="107">
                  <c:v>-3.7000000000000011</c:v>
                </c:pt>
                <c:pt idx="108">
                  <c:v>-3.2000000000000011</c:v>
                </c:pt>
                <c:pt idx="109">
                  <c:v>-2.8000000000000007</c:v>
                </c:pt>
                <c:pt idx="110">
                  <c:v>-1.2000000000000002</c:v>
                </c:pt>
                <c:pt idx="111">
                  <c:v>-1.9999999999999991</c:v>
                </c:pt>
                <c:pt idx="112">
                  <c:v>-3.0999999999999996</c:v>
                </c:pt>
                <c:pt idx="113">
                  <c:v>-4.7</c:v>
                </c:pt>
                <c:pt idx="114">
                  <c:v>-4.0999999999999996</c:v>
                </c:pt>
                <c:pt idx="115">
                  <c:v>-3.0999999999999996</c:v>
                </c:pt>
                <c:pt idx="116">
                  <c:v>-3.4000000000000004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3-4BDE-9137-7004DBEC3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356319"/>
        <c:axId val="591358719"/>
      </c:lineChart>
      <c:lineChart>
        <c:grouping val="standard"/>
        <c:varyColors val="0"/>
        <c:ser>
          <c:idx val="1"/>
          <c:order val="1"/>
          <c:tx>
            <c:strRef>
              <c:f>M1M2_DIFF_M!$D$1</c:f>
              <c:strCache>
                <c:ptCount val="1"/>
                <c:pt idx="0">
                  <c:v> factor_value_level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M1M2_DIFF_M!$B$2:$B$234</c:f>
              <c:numCache>
                <c:formatCode>m/d/yyyy</c:formatCode>
                <c:ptCount val="233"/>
                <c:pt idx="0">
                  <c:v>42582</c:v>
                </c:pt>
                <c:pt idx="1">
                  <c:v>42613</c:v>
                </c:pt>
                <c:pt idx="2">
                  <c:v>42643</c:v>
                </c:pt>
                <c:pt idx="3">
                  <c:v>42674</c:v>
                </c:pt>
                <c:pt idx="4">
                  <c:v>42704</c:v>
                </c:pt>
                <c:pt idx="5">
                  <c:v>42735</c:v>
                </c:pt>
                <c:pt idx="6">
                  <c:v>42766</c:v>
                </c:pt>
                <c:pt idx="7">
                  <c:v>42794</c:v>
                </c:pt>
                <c:pt idx="8">
                  <c:v>42825</c:v>
                </c:pt>
                <c:pt idx="9">
                  <c:v>42855</c:v>
                </c:pt>
                <c:pt idx="10">
                  <c:v>42886</c:v>
                </c:pt>
                <c:pt idx="11">
                  <c:v>42916</c:v>
                </c:pt>
                <c:pt idx="12">
                  <c:v>42947</c:v>
                </c:pt>
                <c:pt idx="13">
                  <c:v>42978</c:v>
                </c:pt>
                <c:pt idx="14">
                  <c:v>43008</c:v>
                </c:pt>
                <c:pt idx="15">
                  <c:v>43039</c:v>
                </c:pt>
                <c:pt idx="16">
                  <c:v>43069</c:v>
                </c:pt>
                <c:pt idx="17">
                  <c:v>43100</c:v>
                </c:pt>
                <c:pt idx="18">
                  <c:v>43131</c:v>
                </c:pt>
                <c:pt idx="19">
                  <c:v>43159</c:v>
                </c:pt>
                <c:pt idx="20">
                  <c:v>43190</c:v>
                </c:pt>
                <c:pt idx="21">
                  <c:v>43220</c:v>
                </c:pt>
                <c:pt idx="22">
                  <c:v>43251</c:v>
                </c:pt>
                <c:pt idx="23">
                  <c:v>43281</c:v>
                </c:pt>
                <c:pt idx="24">
                  <c:v>43312</c:v>
                </c:pt>
                <c:pt idx="25">
                  <c:v>43343</c:v>
                </c:pt>
                <c:pt idx="26">
                  <c:v>43373</c:v>
                </c:pt>
                <c:pt idx="27">
                  <c:v>43404</c:v>
                </c:pt>
                <c:pt idx="28">
                  <c:v>43434</c:v>
                </c:pt>
                <c:pt idx="29">
                  <c:v>43465</c:v>
                </c:pt>
                <c:pt idx="30">
                  <c:v>43496</c:v>
                </c:pt>
                <c:pt idx="31">
                  <c:v>43524</c:v>
                </c:pt>
                <c:pt idx="32">
                  <c:v>43555</c:v>
                </c:pt>
                <c:pt idx="33">
                  <c:v>43585</c:v>
                </c:pt>
                <c:pt idx="34">
                  <c:v>43616</c:v>
                </c:pt>
                <c:pt idx="35">
                  <c:v>43646</c:v>
                </c:pt>
                <c:pt idx="36">
                  <c:v>43677</c:v>
                </c:pt>
                <c:pt idx="37">
                  <c:v>43708</c:v>
                </c:pt>
                <c:pt idx="38">
                  <c:v>43738</c:v>
                </c:pt>
                <c:pt idx="39">
                  <c:v>43769</c:v>
                </c:pt>
                <c:pt idx="40">
                  <c:v>43799</c:v>
                </c:pt>
                <c:pt idx="41">
                  <c:v>43830</c:v>
                </c:pt>
                <c:pt idx="42">
                  <c:v>43861</c:v>
                </c:pt>
                <c:pt idx="43">
                  <c:v>43890</c:v>
                </c:pt>
                <c:pt idx="44">
                  <c:v>43921</c:v>
                </c:pt>
                <c:pt idx="45">
                  <c:v>43951</c:v>
                </c:pt>
                <c:pt idx="46">
                  <c:v>43982</c:v>
                </c:pt>
                <c:pt idx="47">
                  <c:v>44012</c:v>
                </c:pt>
                <c:pt idx="48">
                  <c:v>44043</c:v>
                </c:pt>
                <c:pt idx="49">
                  <c:v>44074</c:v>
                </c:pt>
                <c:pt idx="50">
                  <c:v>44104</c:v>
                </c:pt>
                <c:pt idx="51">
                  <c:v>44135</c:v>
                </c:pt>
                <c:pt idx="52">
                  <c:v>44165</c:v>
                </c:pt>
                <c:pt idx="53">
                  <c:v>44196</c:v>
                </c:pt>
                <c:pt idx="54">
                  <c:v>44227</c:v>
                </c:pt>
                <c:pt idx="55">
                  <c:v>44255</c:v>
                </c:pt>
                <c:pt idx="56">
                  <c:v>44286</c:v>
                </c:pt>
                <c:pt idx="57">
                  <c:v>44316</c:v>
                </c:pt>
                <c:pt idx="58">
                  <c:v>44347</c:v>
                </c:pt>
                <c:pt idx="59">
                  <c:v>44377</c:v>
                </c:pt>
                <c:pt idx="60">
                  <c:v>44408</c:v>
                </c:pt>
                <c:pt idx="61">
                  <c:v>44439</c:v>
                </c:pt>
                <c:pt idx="62">
                  <c:v>44469</c:v>
                </c:pt>
                <c:pt idx="63">
                  <c:v>44500</c:v>
                </c:pt>
                <c:pt idx="64">
                  <c:v>44530</c:v>
                </c:pt>
                <c:pt idx="65">
                  <c:v>44561</c:v>
                </c:pt>
                <c:pt idx="66">
                  <c:v>44592</c:v>
                </c:pt>
                <c:pt idx="67">
                  <c:v>44620</c:v>
                </c:pt>
                <c:pt idx="68">
                  <c:v>44651</c:v>
                </c:pt>
                <c:pt idx="69">
                  <c:v>44681</c:v>
                </c:pt>
                <c:pt idx="70">
                  <c:v>44712</c:v>
                </c:pt>
                <c:pt idx="71">
                  <c:v>44742</c:v>
                </c:pt>
                <c:pt idx="72">
                  <c:v>44773</c:v>
                </c:pt>
                <c:pt idx="73">
                  <c:v>44804</c:v>
                </c:pt>
                <c:pt idx="74">
                  <c:v>44834</c:v>
                </c:pt>
                <c:pt idx="75">
                  <c:v>44865</c:v>
                </c:pt>
                <c:pt idx="76">
                  <c:v>44895</c:v>
                </c:pt>
                <c:pt idx="77">
                  <c:v>44926</c:v>
                </c:pt>
                <c:pt idx="78">
                  <c:v>44957</c:v>
                </c:pt>
                <c:pt idx="79">
                  <c:v>44985</c:v>
                </c:pt>
                <c:pt idx="80">
                  <c:v>45016</c:v>
                </c:pt>
                <c:pt idx="81">
                  <c:v>45046</c:v>
                </c:pt>
                <c:pt idx="82">
                  <c:v>45077</c:v>
                </c:pt>
                <c:pt idx="83">
                  <c:v>45107</c:v>
                </c:pt>
                <c:pt idx="84">
                  <c:v>45138</c:v>
                </c:pt>
                <c:pt idx="85">
                  <c:v>45169</c:v>
                </c:pt>
                <c:pt idx="86">
                  <c:v>45199</c:v>
                </c:pt>
                <c:pt idx="87">
                  <c:v>45230</c:v>
                </c:pt>
                <c:pt idx="88">
                  <c:v>45260</c:v>
                </c:pt>
                <c:pt idx="89">
                  <c:v>45291</c:v>
                </c:pt>
                <c:pt idx="90">
                  <c:v>45322</c:v>
                </c:pt>
                <c:pt idx="91">
                  <c:v>45351</c:v>
                </c:pt>
                <c:pt idx="92">
                  <c:v>45382</c:v>
                </c:pt>
                <c:pt idx="93">
                  <c:v>45412</c:v>
                </c:pt>
                <c:pt idx="94">
                  <c:v>45443</c:v>
                </c:pt>
                <c:pt idx="95">
                  <c:v>45473</c:v>
                </c:pt>
                <c:pt idx="96">
                  <c:v>45504</c:v>
                </c:pt>
                <c:pt idx="97">
                  <c:v>45535</c:v>
                </c:pt>
                <c:pt idx="98">
                  <c:v>45565</c:v>
                </c:pt>
                <c:pt idx="99">
                  <c:v>45596</c:v>
                </c:pt>
                <c:pt idx="100">
                  <c:v>45626</c:v>
                </c:pt>
                <c:pt idx="101">
                  <c:v>45657</c:v>
                </c:pt>
                <c:pt idx="102">
                  <c:v>45688</c:v>
                </c:pt>
                <c:pt idx="103">
                  <c:v>45716</c:v>
                </c:pt>
                <c:pt idx="104">
                  <c:v>45747</c:v>
                </c:pt>
                <c:pt idx="105">
                  <c:v>45777</c:v>
                </c:pt>
                <c:pt idx="106">
                  <c:v>45808</c:v>
                </c:pt>
                <c:pt idx="107">
                  <c:v>45838</c:v>
                </c:pt>
                <c:pt idx="108">
                  <c:v>45869</c:v>
                </c:pt>
                <c:pt idx="109">
                  <c:v>45900</c:v>
                </c:pt>
                <c:pt idx="110">
                  <c:v>45930</c:v>
                </c:pt>
                <c:pt idx="111">
                  <c:v>45961</c:v>
                </c:pt>
                <c:pt idx="112">
                  <c:v>45991</c:v>
                </c:pt>
                <c:pt idx="113">
                  <c:v>46022</c:v>
                </c:pt>
                <c:pt idx="114">
                  <c:v>46053</c:v>
                </c:pt>
                <c:pt idx="115">
                  <c:v>46081</c:v>
                </c:pt>
                <c:pt idx="116">
                  <c:v>46112</c:v>
                </c:pt>
              </c:numCache>
            </c:numRef>
          </c:cat>
          <c:val>
            <c:numRef>
              <c:f>M1M2_DIFF_M!$D$2:$D$234</c:f>
              <c:numCache>
                <c:formatCode>_(* #,##0.00_);_(* \(#,##0.00\);_(* "-"??_);_(@_)</c:formatCode>
                <c:ptCount val="233"/>
                <c:pt idx="0">
                  <c:v>2.72048238504332</c:v>
                </c:pt>
                <c:pt idx="1">
                  <c:v>1.55646463080153</c:v>
                </c:pt>
                <c:pt idx="2">
                  <c:v>1.01750174790434</c:v>
                </c:pt>
                <c:pt idx="3">
                  <c:v>0.57329258338837297</c:v>
                </c:pt>
                <c:pt idx="4">
                  <c:v>0.191965445860967</c:v>
                </c:pt>
                <c:pt idx="5">
                  <c:v>-0.175977052023673</c:v>
                </c:pt>
                <c:pt idx="6">
                  <c:v>-1.7478851177933601</c:v>
                </c:pt>
                <c:pt idx="7">
                  <c:v>0.31454849485553599</c:v>
                </c:pt>
                <c:pt idx="8">
                  <c:v>-0.33136568318561999</c:v>
                </c:pt>
                <c:pt idx="9">
                  <c:v>-0.308218159742432</c:v>
                </c:pt>
                <c:pt idx="10">
                  <c:v>-0.48879660471617298</c:v>
                </c:pt>
                <c:pt idx="11">
                  <c:v>-0.94376740413887406</c:v>
                </c:pt>
                <c:pt idx="12">
                  <c:v>-0.67167757146559304</c:v>
                </c:pt>
                <c:pt idx="13">
                  <c:v>-0.83486416827124599</c:v>
                </c:pt>
                <c:pt idx="14">
                  <c:v>-0.80976904756559498</c:v>
                </c:pt>
                <c:pt idx="15">
                  <c:v>-0.91706665461683601</c:v>
                </c:pt>
                <c:pt idx="16">
                  <c:v>-0.89623894316649499</c:v>
                </c:pt>
                <c:pt idx="17">
                  <c:v>-0.71947697890139195</c:v>
                </c:pt>
                <c:pt idx="18">
                  <c:v>0.112306557680883</c:v>
                </c:pt>
                <c:pt idx="19">
                  <c:v>-1.84069326478978</c:v>
                </c:pt>
                <c:pt idx="20">
                  <c:v>-1.6566757098779401</c:v>
                </c:pt>
                <c:pt idx="21">
                  <c:v>-1.30019034830931</c:v>
                </c:pt>
                <c:pt idx="22">
                  <c:v>-1.3460286897857701</c:v>
                </c:pt>
                <c:pt idx="23">
                  <c:v>-0.81022168326578903</c:v>
                </c:pt>
                <c:pt idx="24">
                  <c:v>-1.2008631980037601</c:v>
                </c:pt>
                <c:pt idx="25">
                  <c:v>-1.22114146481843</c:v>
                </c:pt>
                <c:pt idx="26">
                  <c:v>-0.96912391220624405</c:v>
                </c:pt>
                <c:pt idx="27">
                  <c:v>-1.0183992450333501</c:v>
                </c:pt>
                <c:pt idx="28">
                  <c:v>-1.0930388536028</c:v>
                </c:pt>
                <c:pt idx="29">
                  <c:v>-0.85975602469164203</c:v>
                </c:pt>
                <c:pt idx="30">
                  <c:v>-1.00798505225228</c:v>
                </c:pt>
                <c:pt idx="31">
                  <c:v>-0.26003596206066998</c:v>
                </c:pt>
                <c:pt idx="32">
                  <c:v>0.33446867877862202</c:v>
                </c:pt>
                <c:pt idx="33">
                  <c:v>-4.7119367198513798E-2</c:v>
                </c:pt>
                <c:pt idx="34">
                  <c:v>0.17177503517720599</c:v>
                </c:pt>
                <c:pt idx="35">
                  <c:v>0.49786687467009499</c:v>
                </c:pt>
                <c:pt idx="36">
                  <c:v>0.275912810484853</c:v>
                </c:pt>
                <c:pt idx="37">
                  <c:v>0.50635143433746299</c:v>
                </c:pt>
                <c:pt idx="38">
                  <c:v>0.59478834132106395</c:v>
                </c:pt>
                <c:pt idx="39">
                  <c:v>0.71299383720263099</c:v>
                </c:pt>
                <c:pt idx="40">
                  <c:v>1.0133850073003501</c:v>
                </c:pt>
                <c:pt idx="41">
                  <c:v>1.250353195</c:v>
                </c:pt>
                <c:pt idx="42">
                  <c:v>-0.52668671722063298</c:v>
                </c:pt>
                <c:pt idx="43">
                  <c:v>1.6284567222311399</c:v>
                </c:pt>
                <c:pt idx="44">
                  <c:v>1.1040102970194301</c:v>
                </c:pt>
                <c:pt idx="45">
                  <c:v>0.877692311344208</c:v>
                </c:pt>
                <c:pt idx="46">
                  <c:v>1.5089708268456401</c:v>
                </c:pt>
                <c:pt idx="47">
                  <c:v>1.2616378407009401</c:v>
                </c:pt>
                <c:pt idx="48">
                  <c:v>1.5147557599570201</c:v>
                </c:pt>
                <c:pt idx="49">
                  <c:v>1.94483111451683</c:v>
                </c:pt>
                <c:pt idx="50">
                  <c:v>1.4935115973222099</c:v>
                </c:pt>
                <c:pt idx="51">
                  <c:v>1.85021591826995</c:v>
                </c:pt>
                <c:pt idx="52">
                  <c:v>1.81549207189643</c:v>
                </c:pt>
                <c:pt idx="53">
                  <c:v>1.2342438233081101</c:v>
                </c:pt>
                <c:pt idx="54">
                  <c:v>3</c:v>
                </c:pt>
                <c:pt idx="55">
                  <c:v>0.120500350296664</c:v>
                </c:pt>
                <c:pt idx="56">
                  <c:v>0.251711945552891</c:v>
                </c:pt>
                <c:pt idx="57">
                  <c:v>0.36117366571057602</c:v>
                </c:pt>
                <c:pt idx="58">
                  <c:v>0.220883511870509</c:v>
                </c:pt>
                <c:pt idx="59">
                  <c:v>-0.117671664568365</c:v>
                </c:pt>
                <c:pt idx="60">
                  <c:v>-0.18974533949948499</c:v>
                </c:pt>
                <c:pt idx="61">
                  <c:v>-0.384896159143294</c:v>
                </c:pt>
                <c:pt idx="62">
                  <c:v>-0.57062295517984096</c:v>
                </c:pt>
                <c:pt idx="63">
                  <c:v>-1.00206878972442</c:v>
                </c:pt>
                <c:pt idx="64">
                  <c:v>-0.70480453575817803</c:v>
                </c:pt>
                <c:pt idx="65">
                  <c:v>-0.63944739744524703</c:v>
                </c:pt>
                <c:pt idx="66">
                  <c:v>-3</c:v>
                </c:pt>
                <c:pt idx="67">
                  <c:v>0.38722132579872798</c:v>
                </c:pt>
                <c:pt idx="68">
                  <c:v>0.10765232526759599</c:v>
                </c:pt>
                <c:pt idx="69">
                  <c:v>-6.22678979405814E-2</c:v>
                </c:pt>
                <c:pt idx="70">
                  <c:v>-0.51083302561570398</c:v>
                </c:pt>
                <c:pt idx="71">
                  <c:v>-4.3299407530187801E-2</c:v>
                </c:pt>
                <c:pt idx="72">
                  <c:v>0.10457255888146499</c:v>
                </c:pt>
                <c:pt idx="73">
                  <c:v>-0.23886888765276601</c:v>
                </c:pt>
                <c:pt idx="74">
                  <c:v>-2.17481382912867E-2</c:v>
                </c:pt>
                <c:pt idx="75">
                  <c:v>-0.134389393550609</c:v>
                </c:pt>
                <c:pt idx="76">
                  <c:v>-0.84757731936648395</c:v>
                </c:pt>
                <c:pt idx="77">
                  <c:v>-0.79773484174629095</c:v>
                </c:pt>
                <c:pt idx="78">
                  <c:v>0.26678579456566698</c:v>
                </c:pt>
                <c:pt idx="79">
                  <c:v>-0.29875257547720202</c:v>
                </c:pt>
                <c:pt idx="80">
                  <c:v>-0.42761009097253899</c:v>
                </c:pt>
                <c:pt idx="81">
                  <c:v>-0.122281019350842</c:v>
                </c:pt>
                <c:pt idx="82">
                  <c:v>-2.1868702464329101E-3</c:v>
                </c:pt>
                <c:pt idx="83">
                  <c:v>-0.51797586988677202</c:v>
                </c:pt>
                <c:pt idx="84">
                  <c:v>-0.47917657787087797</c:v>
                </c:pt>
                <c:pt idx="85">
                  <c:v>-0.35282095642280997</c:v>
                </c:pt>
                <c:pt idx="86">
                  <c:v>-0.147127130572624</c:v>
                </c:pt>
                <c:pt idx="87">
                  <c:v>-0.14768788499407301</c:v>
                </c:pt>
                <c:pt idx="88">
                  <c:v>-0.17625112913522201</c:v>
                </c:pt>
                <c:pt idx="89">
                  <c:v>8.8334896530428503E-2</c:v>
                </c:pt>
                <c:pt idx="90">
                  <c:v>1.5994289572815099</c:v>
                </c:pt>
                <c:pt idx="91">
                  <c:v>1.6100166341348301</c:v>
                </c:pt>
                <c:pt idx="92">
                  <c:v>1.43999982156759</c:v>
                </c:pt>
                <c:pt idx="93">
                  <c:v>0.87696975098207597</c:v>
                </c:pt>
                <c:pt idx="94">
                  <c:v>7.6200942453067105E-2</c:v>
                </c:pt>
                <c:pt idx="95">
                  <c:v>9.9063549836696602E-2</c:v>
                </c:pt>
                <c:pt idx="96">
                  <c:v>-0.453522457572552</c:v>
                </c:pt>
                <c:pt idx="97">
                  <c:v>-0.53580577743548596</c:v>
                </c:pt>
                <c:pt idx="98">
                  <c:v>-0.85618390697220403</c:v>
                </c:pt>
                <c:pt idx="99">
                  <c:v>-0.442847722630203</c:v>
                </c:pt>
                <c:pt idx="100">
                  <c:v>0.94186790205050297</c:v>
                </c:pt>
                <c:pt idx="101">
                  <c:v>1.8993654589590201</c:v>
                </c:pt>
                <c:pt idx="102">
                  <c:v>1.25092603513783</c:v>
                </c:pt>
                <c:pt idx="103">
                  <c:v>1.10576682869555</c:v>
                </c:pt>
                <c:pt idx="104">
                  <c:v>2.23687899578379</c:v>
                </c:pt>
                <c:pt idx="105">
                  <c:v>0.92482967220786405</c:v>
                </c:pt>
                <c:pt idx="106">
                  <c:v>1.4928345150515501</c:v>
                </c:pt>
                <c:pt idx="107">
                  <c:v>2.6580972394811302</c:v>
                </c:pt>
                <c:pt idx="108">
                  <c:v>2.3661268096258699</c:v>
                </c:pt>
                <c:pt idx="109">
                  <c:v>2.08287411900689</c:v>
                </c:pt>
                <c:pt idx="110">
                  <c:v>2.5906021708839901</c:v>
                </c:pt>
                <c:pt idx="111">
                  <c:v>1.4947836689260401</c:v>
                </c:pt>
                <c:pt idx="112">
                  <c:v>0.56947955831887698</c:v>
                </c:pt>
                <c:pt idx="113">
                  <c:v>-0.47233033468379898</c:v>
                </c:pt>
                <c:pt idx="114">
                  <c:v>-0.120727295568029</c:v>
                </c:pt>
                <c:pt idx="115">
                  <c:v>0.44127816943781101</c:v>
                </c:pt>
                <c:pt idx="116">
                  <c:v>0.13894109350762299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23-4BDE-9137-7004DBEC3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309759"/>
        <c:axId val="591309279"/>
      </c:lineChart>
      <c:dateAx>
        <c:axId val="591356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358719"/>
        <c:crosses val="autoZero"/>
        <c:auto val="1"/>
        <c:lblOffset val="100"/>
        <c:baseTimeUnit val="months"/>
      </c:dateAx>
      <c:valAx>
        <c:axId val="59135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356319"/>
        <c:crosses val="autoZero"/>
        <c:crossBetween val="between"/>
      </c:valAx>
      <c:valAx>
        <c:axId val="591309279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309759"/>
        <c:crosses val="max"/>
        <c:crossBetween val="between"/>
      </c:valAx>
      <c:dateAx>
        <c:axId val="59130975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9130927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195939</xdr:colOff>
      <xdr:row>0</xdr:row>
      <xdr:rowOff>59871</xdr:rowOff>
    </xdr:from>
    <xdr:to>
      <xdr:col>31</xdr:col>
      <xdr:colOff>429983</xdr:colOff>
      <xdr:row>16</xdr:row>
      <xdr:rowOff>144235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BC4D93E-3C52-4BFB-27CB-EF6F0B5D1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206829</xdr:colOff>
      <xdr:row>16</xdr:row>
      <xdr:rowOff>108855</xdr:rowOff>
    </xdr:from>
    <xdr:to>
      <xdr:col>31</xdr:col>
      <xdr:colOff>419099</xdr:colOff>
      <xdr:row>33</xdr:row>
      <xdr:rowOff>5442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6197CBD-50DF-65BD-64CD-2C6266241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386443</xdr:colOff>
      <xdr:row>1</xdr:row>
      <xdr:rowOff>141512</xdr:rowOff>
    </xdr:from>
    <xdr:to>
      <xdr:col>15</xdr:col>
      <xdr:colOff>478971</xdr:colOff>
      <xdr:row>20</xdr:row>
      <xdr:rowOff>27213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1086FB-FABA-C858-4A4A-C78C04B5E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68034</xdr:colOff>
      <xdr:row>1</xdr:row>
      <xdr:rowOff>103413</xdr:rowOff>
    </xdr:from>
    <xdr:to>
      <xdr:col>15</xdr:col>
      <xdr:colOff>511627</xdr:colOff>
      <xdr:row>17</xdr:row>
      <xdr:rowOff>163285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4C084CB-BB13-853A-FED6-52B8D773D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166006</xdr:colOff>
      <xdr:row>1</xdr:row>
      <xdr:rowOff>97970</xdr:rowOff>
    </xdr:from>
    <xdr:to>
      <xdr:col>15</xdr:col>
      <xdr:colOff>32656</xdr:colOff>
      <xdr:row>22</xdr:row>
      <xdr:rowOff>38099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E2CEDFB-F04F-37A4-F470-52A19BACA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563336</xdr:colOff>
      <xdr:row>0</xdr:row>
      <xdr:rowOff>157842</xdr:rowOff>
    </xdr:from>
    <xdr:to>
      <xdr:col>15</xdr:col>
      <xdr:colOff>228600</xdr:colOff>
      <xdr:row>17</xdr:row>
      <xdr:rowOff>21771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CAFFAB-FFED-1B6C-0A99-7A928659C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449034</xdr:colOff>
      <xdr:row>1</xdr:row>
      <xdr:rowOff>32655</xdr:rowOff>
    </xdr:from>
    <xdr:to>
      <xdr:col>15</xdr:col>
      <xdr:colOff>206827</xdr:colOff>
      <xdr:row>21</xdr:row>
      <xdr:rowOff>70756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6A4B736-7CB1-9BE0-82CF-FB77137B2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459920</xdr:colOff>
      <xdr:row>1</xdr:row>
      <xdr:rowOff>125184</xdr:rowOff>
    </xdr:from>
    <xdr:to>
      <xdr:col>15</xdr:col>
      <xdr:colOff>261256</xdr:colOff>
      <xdr:row>18</xdr:row>
      <xdr:rowOff>168728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D5F7678-4E2B-AF15-9061-D5E345407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157843</xdr:colOff>
      <xdr:row>1</xdr:row>
      <xdr:rowOff>38100</xdr:rowOff>
    </xdr:from>
    <xdr:to>
      <xdr:col>16</xdr:col>
      <xdr:colOff>571500</xdr:colOff>
      <xdr:row>22</xdr:row>
      <xdr:rowOff>59872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5871839-5FED-D4F4-E244-4FBC6C08F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</xdr:row>
      <xdr:rowOff>108857</xdr:rowOff>
    </xdr:from>
    <xdr:to>
      <xdr:col>17</xdr:col>
      <xdr:colOff>157843</xdr:colOff>
      <xdr:row>21</xdr:row>
      <xdr:rowOff>16329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90AD8AD-13EB-FB97-9A08-B7BE449A6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7140-EBDF-465E-825E-F642AA5C6574}">
  <dimension ref="Q1:U118"/>
  <sheetViews>
    <sheetView topLeftCell="Q1" workbookViewId="0">
      <selection activeCell="R2" sqref="R2"/>
    </sheetView>
  </sheetViews>
  <sheetFormatPr defaultRowHeight="14.15" x14ac:dyDescent="0.35"/>
  <cols>
    <col min="18" max="18" width="10.640625" bestFit="1" customWidth="1"/>
    <col min="20" max="20" width="15.42578125" style="1" bestFit="1" customWidth="1"/>
    <col min="21" max="21" width="17.78515625" bestFit="1" customWidth="1"/>
  </cols>
  <sheetData>
    <row r="1" spans="17:21" x14ac:dyDescent="0.35">
      <c r="Q1" t="s">
        <v>0</v>
      </c>
      <c r="S1" t="s">
        <v>3</v>
      </c>
      <c r="T1" s="1" t="s">
        <v>1</v>
      </c>
      <c r="U1" t="s">
        <v>2</v>
      </c>
    </row>
    <row r="2" spans="17:21" x14ac:dyDescent="0.35">
      <c r="Q2">
        <v>20160731</v>
      </c>
      <c r="R2" s="2">
        <f>DATE(LEFT(Q2,4),MID(Q2,5,2),RIGHT(Q2,2))</f>
        <v>42582</v>
      </c>
      <c r="S2">
        <v>49.9</v>
      </c>
      <c r="T2" s="1">
        <v>0.104532942752062</v>
      </c>
    </row>
    <row r="3" spans="17:21" x14ac:dyDescent="0.35">
      <c r="Q3">
        <v>20160831</v>
      </c>
      <c r="R3" s="2">
        <f t="shared" ref="R3:R66" si="0">DATE(LEFT(Q3,4),MID(Q3,5,2),RIGHT(Q3,2))</f>
        <v>42613</v>
      </c>
      <c r="S3">
        <v>50.4</v>
      </c>
      <c r="T3" s="1">
        <v>1.4909800084253699</v>
      </c>
      <c r="U3" s="1">
        <v>1.18709802783042</v>
      </c>
    </row>
    <row r="4" spans="17:21" x14ac:dyDescent="0.35">
      <c r="Q4">
        <v>20160930</v>
      </c>
      <c r="R4" s="2">
        <f t="shared" si="0"/>
        <v>42643</v>
      </c>
      <c r="S4">
        <v>50.4</v>
      </c>
      <c r="T4" s="1">
        <v>1.1529241031678901</v>
      </c>
      <c r="U4" s="1">
        <v>-0.29436390566687598</v>
      </c>
    </row>
    <row r="5" spans="17:21" x14ac:dyDescent="0.35">
      <c r="Q5">
        <v>20161031</v>
      </c>
      <c r="R5" s="2">
        <f t="shared" si="0"/>
        <v>42674</v>
      </c>
      <c r="S5">
        <v>51.2</v>
      </c>
      <c r="T5" s="1">
        <v>3</v>
      </c>
      <c r="U5" s="1">
        <v>1.7503754168996799</v>
      </c>
    </row>
    <row r="6" spans="17:21" x14ac:dyDescent="0.35">
      <c r="Q6">
        <v>20161130</v>
      </c>
      <c r="R6" s="2">
        <f t="shared" si="0"/>
        <v>42704</v>
      </c>
      <c r="S6">
        <v>51.7</v>
      </c>
      <c r="T6" s="1">
        <v>3</v>
      </c>
      <c r="U6" s="1">
        <v>0.60484345040266096</v>
      </c>
    </row>
    <row r="7" spans="17:21" x14ac:dyDescent="0.35">
      <c r="Q7">
        <v>20161231</v>
      </c>
      <c r="R7" s="2">
        <f t="shared" si="0"/>
        <v>42735</v>
      </c>
      <c r="S7">
        <v>51.4</v>
      </c>
      <c r="T7" s="1">
        <v>1.5717237746454999</v>
      </c>
      <c r="U7" s="1">
        <v>-1.4786900252924899</v>
      </c>
    </row>
    <row r="8" spans="17:21" x14ac:dyDescent="0.35">
      <c r="Q8">
        <v>20170131</v>
      </c>
      <c r="R8" s="2">
        <f t="shared" si="0"/>
        <v>42766</v>
      </c>
      <c r="S8">
        <v>51.3</v>
      </c>
      <c r="T8" s="1">
        <v>0.99261227132301699</v>
      </c>
      <c r="U8" s="1">
        <v>-0.71182776592010299</v>
      </c>
    </row>
    <row r="9" spans="17:21" x14ac:dyDescent="0.35">
      <c r="Q9">
        <v>20170228</v>
      </c>
      <c r="R9" s="2">
        <f t="shared" si="0"/>
        <v>42794</v>
      </c>
      <c r="S9">
        <v>51.6</v>
      </c>
      <c r="T9" s="1">
        <v>1.31216597657056</v>
      </c>
      <c r="U9" s="1">
        <v>0.36265048243109799</v>
      </c>
    </row>
    <row r="10" spans="17:21" x14ac:dyDescent="0.35">
      <c r="Q10">
        <v>20170331</v>
      </c>
      <c r="R10" s="2">
        <f t="shared" si="0"/>
        <v>42825</v>
      </c>
      <c r="S10">
        <v>51.8</v>
      </c>
      <c r="T10" s="1">
        <v>1.35784722437211</v>
      </c>
      <c r="U10" s="1">
        <v>3.8787348212868E-2</v>
      </c>
    </row>
    <row r="11" spans="17:21" x14ac:dyDescent="0.35">
      <c r="Q11">
        <v>20170430</v>
      </c>
      <c r="R11" s="2">
        <f t="shared" si="0"/>
        <v>42855</v>
      </c>
      <c r="S11">
        <v>51.2</v>
      </c>
      <c r="T11" s="1">
        <v>-9.0471640473489295E-2</v>
      </c>
      <c r="U11" s="1">
        <v>-1.98243462381487</v>
      </c>
    </row>
    <row r="12" spans="17:21" x14ac:dyDescent="0.35">
      <c r="Q12">
        <v>20170531</v>
      </c>
      <c r="R12" s="2">
        <f t="shared" si="0"/>
        <v>42886</v>
      </c>
      <c r="S12">
        <v>51.2</v>
      </c>
      <c r="T12" s="1">
        <v>-0.15238474286281201</v>
      </c>
      <c r="U12" s="1">
        <v>-0.117115884416175</v>
      </c>
    </row>
    <row r="13" spans="17:21" x14ac:dyDescent="0.35">
      <c r="Q13">
        <v>20170630</v>
      </c>
      <c r="R13" s="2">
        <f t="shared" si="0"/>
        <v>42916</v>
      </c>
      <c r="S13">
        <v>51.7</v>
      </c>
      <c r="T13" s="1">
        <v>0.75015287185034296</v>
      </c>
      <c r="U13" s="1">
        <v>1.1062828422011599</v>
      </c>
    </row>
    <row r="14" spans="17:21" x14ac:dyDescent="0.35">
      <c r="Q14">
        <v>20170731</v>
      </c>
      <c r="R14" s="2">
        <f t="shared" si="0"/>
        <v>42947</v>
      </c>
      <c r="S14">
        <v>51.4</v>
      </c>
      <c r="T14" s="1">
        <v>-4.1082982712151501E-2</v>
      </c>
      <c r="U14" s="1">
        <v>-1.03780635598431</v>
      </c>
    </row>
    <row r="15" spans="17:21" x14ac:dyDescent="0.35">
      <c r="Q15">
        <v>20170831</v>
      </c>
      <c r="R15" s="2">
        <f t="shared" si="0"/>
        <v>42978</v>
      </c>
      <c r="S15">
        <v>51.7</v>
      </c>
      <c r="T15" s="1">
        <v>0.46953791198824202</v>
      </c>
      <c r="U15" s="1">
        <v>0.590901438041883</v>
      </c>
    </row>
    <row r="16" spans="17:21" x14ac:dyDescent="0.35">
      <c r="Q16">
        <v>20170930</v>
      </c>
      <c r="R16" s="2">
        <f t="shared" si="0"/>
        <v>43008</v>
      </c>
      <c r="S16">
        <v>52.4</v>
      </c>
      <c r="T16" s="1">
        <v>1.6908691274394001</v>
      </c>
      <c r="U16" s="1">
        <v>1.4546495860278399</v>
      </c>
    </row>
    <row r="17" spans="17:21" x14ac:dyDescent="0.35">
      <c r="Q17">
        <v>20171031</v>
      </c>
      <c r="R17" s="2">
        <f t="shared" si="0"/>
        <v>43039</v>
      </c>
      <c r="S17">
        <v>51.6</v>
      </c>
      <c r="T17" s="1">
        <v>-0.28554291945917298</v>
      </c>
      <c r="U17" s="1">
        <v>-2.4348626853789499</v>
      </c>
    </row>
    <row r="18" spans="17:21" x14ac:dyDescent="0.35">
      <c r="Q18">
        <v>20171130</v>
      </c>
      <c r="R18" s="2">
        <f t="shared" si="0"/>
        <v>43069</v>
      </c>
      <c r="S18">
        <v>51.8</v>
      </c>
      <c r="T18" s="1">
        <v>6.1462748262980003E-2</v>
      </c>
      <c r="U18" s="1">
        <v>0.36665676580762102</v>
      </c>
    </row>
    <row r="19" spans="17:21" x14ac:dyDescent="0.35">
      <c r="Q19">
        <v>20171231</v>
      </c>
      <c r="R19" s="2">
        <f t="shared" si="0"/>
        <v>43100</v>
      </c>
      <c r="S19">
        <v>51.6</v>
      </c>
      <c r="T19" s="1">
        <v>-0.439867704232907</v>
      </c>
      <c r="U19" s="1">
        <v>-0.60621748995033098</v>
      </c>
    </row>
    <row r="20" spans="17:21" x14ac:dyDescent="0.35">
      <c r="Q20">
        <v>20180131</v>
      </c>
      <c r="R20" s="2">
        <f t="shared" si="0"/>
        <v>43131</v>
      </c>
      <c r="S20">
        <v>51.3</v>
      </c>
      <c r="T20" s="1">
        <v>-1.0621816523071499</v>
      </c>
      <c r="U20" s="1">
        <v>-0.73457806758825495</v>
      </c>
    </row>
    <row r="21" spans="17:21" x14ac:dyDescent="0.35">
      <c r="Q21">
        <v>20180228</v>
      </c>
      <c r="R21" s="2">
        <f t="shared" si="0"/>
        <v>43159</v>
      </c>
      <c r="S21">
        <v>50.3</v>
      </c>
      <c r="T21" s="1">
        <v>-2.9951117010639399</v>
      </c>
      <c r="U21" s="1">
        <v>-2.2196655952453002</v>
      </c>
    </row>
    <row r="22" spans="17:21" x14ac:dyDescent="0.35">
      <c r="Q22">
        <v>20180331</v>
      </c>
      <c r="R22" s="2">
        <f t="shared" si="0"/>
        <v>43190</v>
      </c>
      <c r="S22">
        <v>51.5</v>
      </c>
      <c r="T22" s="1">
        <v>-0.14044533401022799</v>
      </c>
      <c r="U22" s="1">
        <v>3</v>
      </c>
    </row>
    <row r="23" spans="17:21" x14ac:dyDescent="0.35">
      <c r="Q23">
        <v>20180430</v>
      </c>
      <c r="R23" s="2">
        <f t="shared" si="0"/>
        <v>43220</v>
      </c>
      <c r="S23">
        <v>51.4</v>
      </c>
      <c r="T23" s="1">
        <v>-0.37427821543094603</v>
      </c>
      <c r="U23" s="1">
        <v>-0.27632172347814299</v>
      </c>
    </row>
    <row r="24" spans="17:21" x14ac:dyDescent="0.35">
      <c r="Q24">
        <v>20180531</v>
      </c>
      <c r="R24" s="2">
        <f t="shared" si="0"/>
        <v>43251</v>
      </c>
      <c r="S24">
        <v>51.9</v>
      </c>
      <c r="T24" s="1">
        <v>0.51676913620910203</v>
      </c>
      <c r="U24" s="1">
        <v>0.96957527210783701</v>
      </c>
    </row>
    <row r="25" spans="17:21" x14ac:dyDescent="0.35">
      <c r="Q25">
        <v>20180630</v>
      </c>
      <c r="R25" s="2">
        <f t="shared" si="0"/>
        <v>43281</v>
      </c>
      <c r="S25">
        <v>51.5</v>
      </c>
      <c r="T25" s="1">
        <v>-0.366646805171429</v>
      </c>
      <c r="U25" s="1">
        <v>-1.01037439841914</v>
      </c>
    </row>
    <row r="26" spans="17:21" x14ac:dyDescent="0.35">
      <c r="Q26">
        <v>20180731</v>
      </c>
      <c r="R26" s="2">
        <f t="shared" si="0"/>
        <v>43312</v>
      </c>
      <c r="S26">
        <v>51.2</v>
      </c>
      <c r="T26" s="1">
        <v>-0.90851454778975305</v>
      </c>
      <c r="U26" s="1">
        <v>-0.63551815320831095</v>
      </c>
    </row>
    <row r="27" spans="17:21" x14ac:dyDescent="0.35">
      <c r="Q27">
        <v>20180831</v>
      </c>
      <c r="R27" s="2">
        <f t="shared" si="0"/>
        <v>43343</v>
      </c>
      <c r="S27">
        <v>51.3</v>
      </c>
      <c r="T27" s="1">
        <v>-0.63743276526819803</v>
      </c>
      <c r="U27" s="1">
        <v>0.27987510294071999</v>
      </c>
    </row>
    <row r="28" spans="17:21" x14ac:dyDescent="0.35">
      <c r="Q28">
        <v>20180930</v>
      </c>
      <c r="R28" s="2">
        <f t="shared" si="0"/>
        <v>43373</v>
      </c>
      <c r="S28">
        <v>50.8</v>
      </c>
      <c r="T28" s="1">
        <v>-1.50751275101684</v>
      </c>
      <c r="U28" s="1">
        <v>-0.99294938789993303</v>
      </c>
    </row>
    <row r="29" spans="17:21" x14ac:dyDescent="0.35">
      <c r="Q29">
        <v>20181031</v>
      </c>
      <c r="R29" s="2">
        <f t="shared" si="0"/>
        <v>43404</v>
      </c>
      <c r="S29">
        <v>50.2</v>
      </c>
      <c r="T29" s="1">
        <v>-2.3285496979832798</v>
      </c>
      <c r="U29" s="1">
        <v>-1.02309377563509</v>
      </c>
    </row>
    <row r="30" spans="17:21" x14ac:dyDescent="0.35">
      <c r="Q30">
        <v>20181130</v>
      </c>
      <c r="R30" s="2">
        <f t="shared" si="0"/>
        <v>43434</v>
      </c>
      <c r="S30">
        <v>50</v>
      </c>
      <c r="T30" s="1">
        <v>-2.1815734437025598</v>
      </c>
      <c r="U30" s="1">
        <v>-2.2366480712734799E-2</v>
      </c>
    </row>
    <row r="31" spans="17:21" x14ac:dyDescent="0.35">
      <c r="Q31">
        <v>20181231</v>
      </c>
      <c r="R31" s="2">
        <f t="shared" si="0"/>
        <v>43465</v>
      </c>
      <c r="S31">
        <v>49.4</v>
      </c>
      <c r="T31" s="1">
        <v>-2.6859973722210002</v>
      </c>
      <c r="U31" s="1">
        <v>-0.83909269133471498</v>
      </c>
    </row>
    <row r="32" spans="17:21" x14ac:dyDescent="0.35">
      <c r="Q32">
        <v>20190131</v>
      </c>
      <c r="R32" s="2">
        <f t="shared" si="0"/>
        <v>43496</v>
      </c>
      <c r="S32">
        <v>49.5</v>
      </c>
      <c r="T32" s="1">
        <v>-1.9267447036901999</v>
      </c>
      <c r="U32" s="1">
        <v>0.76378823420506203</v>
      </c>
    </row>
    <row r="33" spans="17:21" x14ac:dyDescent="0.35">
      <c r="Q33">
        <v>20190228</v>
      </c>
      <c r="R33" s="2">
        <f t="shared" si="0"/>
        <v>43524</v>
      </c>
      <c r="S33">
        <v>49.2</v>
      </c>
      <c r="T33" s="1">
        <v>-1.9798825569532399</v>
      </c>
      <c r="U33" s="1">
        <v>-0.19090276222577199</v>
      </c>
    </row>
    <row r="34" spans="17:21" x14ac:dyDescent="0.35">
      <c r="Q34">
        <v>20190331</v>
      </c>
      <c r="R34" s="2">
        <f t="shared" si="0"/>
        <v>43555</v>
      </c>
      <c r="S34">
        <v>50.5</v>
      </c>
      <c r="T34" s="1">
        <v>6.8257927751776207E-2</v>
      </c>
      <c r="U34" s="1">
        <v>3</v>
      </c>
    </row>
    <row r="35" spans="17:21" x14ac:dyDescent="0.35">
      <c r="Q35">
        <v>20190430</v>
      </c>
      <c r="R35" s="2">
        <f t="shared" si="0"/>
        <v>43585</v>
      </c>
      <c r="S35">
        <v>50.1</v>
      </c>
      <c r="T35" s="1">
        <v>-0.487149643463689</v>
      </c>
      <c r="U35" s="1">
        <v>-0.81008798299978002</v>
      </c>
    </row>
    <row r="36" spans="17:21" x14ac:dyDescent="0.35">
      <c r="Q36">
        <v>20190531</v>
      </c>
      <c r="R36" s="2">
        <f t="shared" si="0"/>
        <v>43616</v>
      </c>
      <c r="S36">
        <v>49.4</v>
      </c>
      <c r="T36" s="1">
        <v>-1.33929984409682</v>
      </c>
      <c r="U36" s="1">
        <v>-1.2290884842359799</v>
      </c>
    </row>
    <row r="37" spans="17:21" x14ac:dyDescent="0.35">
      <c r="Q37">
        <v>20190630</v>
      </c>
      <c r="R37" s="2">
        <f t="shared" si="0"/>
        <v>43646</v>
      </c>
      <c r="S37">
        <v>49.4</v>
      </c>
      <c r="T37" s="1">
        <v>-1.0820811944097399</v>
      </c>
      <c r="U37" s="1">
        <v>0.30906371096019403</v>
      </c>
    </row>
    <row r="38" spans="17:21" x14ac:dyDescent="0.35">
      <c r="Q38">
        <v>20190731</v>
      </c>
      <c r="R38" s="2">
        <f t="shared" si="0"/>
        <v>43677</v>
      </c>
      <c r="S38">
        <v>49.7</v>
      </c>
      <c r="T38" s="1">
        <v>-0.49536819220943001</v>
      </c>
      <c r="U38" s="1">
        <v>0.82062817993613302</v>
      </c>
    </row>
    <row r="39" spans="17:21" x14ac:dyDescent="0.35">
      <c r="Q39">
        <v>20190831</v>
      </c>
      <c r="R39" s="2">
        <f t="shared" si="0"/>
        <v>43708</v>
      </c>
      <c r="S39">
        <v>49.5</v>
      </c>
      <c r="T39" s="1">
        <v>-0.66488260109048802</v>
      </c>
      <c r="U39" s="1">
        <v>-0.25058570947398301</v>
      </c>
    </row>
    <row r="40" spans="17:21" x14ac:dyDescent="0.35">
      <c r="Q40">
        <v>20190930</v>
      </c>
      <c r="R40" s="2">
        <f t="shared" si="0"/>
        <v>43738</v>
      </c>
      <c r="S40">
        <v>49.8</v>
      </c>
      <c r="T40" s="1">
        <v>-0.149557563139705</v>
      </c>
      <c r="U40" s="1">
        <v>0.70878653771914901</v>
      </c>
    </row>
    <row r="41" spans="17:21" x14ac:dyDescent="0.35">
      <c r="Q41">
        <v>20191031</v>
      </c>
      <c r="R41" s="2">
        <f t="shared" si="0"/>
        <v>43769</v>
      </c>
      <c r="S41">
        <v>49.3</v>
      </c>
      <c r="T41" s="1">
        <v>-0.74458074726179402</v>
      </c>
      <c r="U41" s="1">
        <v>-0.88601815190005995</v>
      </c>
    </row>
    <row r="42" spans="17:21" x14ac:dyDescent="0.35">
      <c r="Q42">
        <v>20191130</v>
      </c>
      <c r="R42" s="2">
        <f t="shared" si="0"/>
        <v>43799</v>
      </c>
      <c r="S42">
        <v>50.2</v>
      </c>
      <c r="T42" s="1">
        <v>0.60414872024188404</v>
      </c>
      <c r="U42" s="1">
        <v>1.83622281033469</v>
      </c>
    </row>
    <row r="43" spans="17:21" x14ac:dyDescent="0.35">
      <c r="Q43">
        <v>20191231</v>
      </c>
      <c r="R43" s="2">
        <f t="shared" si="0"/>
        <v>43830</v>
      </c>
      <c r="S43">
        <v>50.2</v>
      </c>
      <c r="T43" s="1">
        <v>0.60092392753273804</v>
      </c>
      <c r="U43" s="1">
        <v>-0.13149964646057499</v>
      </c>
    </row>
    <row r="44" spans="17:21" x14ac:dyDescent="0.35">
      <c r="Q44">
        <v>20200131</v>
      </c>
      <c r="R44" s="2">
        <f t="shared" si="0"/>
        <v>43861</v>
      </c>
      <c r="S44">
        <v>50</v>
      </c>
      <c r="T44" s="1">
        <v>0.28362282685061102</v>
      </c>
      <c r="U44" s="1">
        <v>-0.46254754448908098</v>
      </c>
    </row>
    <row r="45" spans="17:21" x14ac:dyDescent="0.35">
      <c r="Q45">
        <v>20200229</v>
      </c>
      <c r="R45" s="2">
        <f t="shared" si="0"/>
        <v>43890</v>
      </c>
      <c r="S45">
        <v>35.700000000000003</v>
      </c>
      <c r="T45" s="1">
        <v>-3</v>
      </c>
      <c r="U45" s="1">
        <v>-3</v>
      </c>
    </row>
    <row r="46" spans="17:21" x14ac:dyDescent="0.35">
      <c r="Q46">
        <v>20200331</v>
      </c>
      <c r="R46" s="2">
        <f t="shared" si="0"/>
        <v>43921</v>
      </c>
      <c r="S46">
        <v>52</v>
      </c>
      <c r="T46" s="1">
        <v>1.9766527139502901</v>
      </c>
      <c r="U46" s="1">
        <v>3</v>
      </c>
    </row>
    <row r="47" spans="17:21" x14ac:dyDescent="0.35">
      <c r="Q47">
        <v>20200430</v>
      </c>
      <c r="R47" s="2">
        <f t="shared" si="0"/>
        <v>43951</v>
      </c>
      <c r="S47">
        <v>50.8</v>
      </c>
      <c r="T47" s="1">
        <v>1.12324964434056</v>
      </c>
      <c r="U47" s="1">
        <v>-0.560733296496431</v>
      </c>
    </row>
    <row r="48" spans="17:21" x14ac:dyDescent="0.35">
      <c r="Q48">
        <v>20200531</v>
      </c>
      <c r="R48" s="2">
        <f t="shared" si="0"/>
        <v>43982</v>
      </c>
      <c r="S48">
        <v>50.6</v>
      </c>
      <c r="T48" s="1">
        <v>0.86217142215064901</v>
      </c>
      <c r="U48" s="1">
        <v>-0.17691270425257</v>
      </c>
    </row>
    <row r="49" spans="17:21" x14ac:dyDescent="0.35">
      <c r="Q49">
        <v>20200630</v>
      </c>
      <c r="R49" s="2">
        <f t="shared" si="0"/>
        <v>44012</v>
      </c>
      <c r="S49">
        <v>50.9</v>
      </c>
      <c r="T49" s="1">
        <v>0.84339214158915998</v>
      </c>
      <c r="U49" s="1">
        <v>-3.5889241977751299E-3</v>
      </c>
    </row>
    <row r="50" spans="17:21" x14ac:dyDescent="0.35">
      <c r="Q50">
        <v>20200731</v>
      </c>
      <c r="R50" s="2">
        <f t="shared" si="0"/>
        <v>44043</v>
      </c>
      <c r="S50">
        <v>51.1</v>
      </c>
      <c r="T50" s="1">
        <v>0.79219200132743905</v>
      </c>
      <c r="U50" s="1">
        <v>-3.40362104246539E-2</v>
      </c>
    </row>
    <row r="51" spans="17:21" x14ac:dyDescent="0.35">
      <c r="Q51">
        <v>20200831</v>
      </c>
      <c r="R51" s="2">
        <f t="shared" si="0"/>
        <v>44074</v>
      </c>
      <c r="S51">
        <v>51</v>
      </c>
      <c r="T51" s="1">
        <v>0.63049637227810096</v>
      </c>
      <c r="U51" s="1">
        <v>-0.117769616488476</v>
      </c>
    </row>
    <row r="52" spans="17:21" x14ac:dyDescent="0.35">
      <c r="Q52">
        <v>20200930</v>
      </c>
      <c r="R52" s="2">
        <f t="shared" si="0"/>
        <v>44104</v>
      </c>
      <c r="S52">
        <v>51.5</v>
      </c>
      <c r="T52" s="1">
        <v>0.72545614404165204</v>
      </c>
      <c r="U52" s="1">
        <v>7.7321820582108194E-2</v>
      </c>
    </row>
    <row r="53" spans="17:21" x14ac:dyDescent="0.35">
      <c r="Q53">
        <v>20201031</v>
      </c>
      <c r="R53" s="2">
        <f t="shared" si="0"/>
        <v>44135</v>
      </c>
      <c r="S53">
        <v>51.4</v>
      </c>
      <c r="T53" s="1">
        <v>0.58370263526462296</v>
      </c>
      <c r="U53" s="1">
        <v>-0.110944368267961</v>
      </c>
    </row>
    <row r="54" spans="17:21" x14ac:dyDescent="0.35">
      <c r="Q54">
        <v>20201130</v>
      </c>
      <c r="R54" s="2">
        <f t="shared" si="0"/>
        <v>44165</v>
      </c>
      <c r="S54">
        <v>52.1</v>
      </c>
      <c r="T54" s="1">
        <v>0.75346337898071303</v>
      </c>
      <c r="U54" s="1">
        <v>0.142732122668427</v>
      </c>
    </row>
    <row r="55" spans="17:21" x14ac:dyDescent="0.35">
      <c r="Q55">
        <v>20201231</v>
      </c>
      <c r="R55" s="2">
        <f t="shared" si="0"/>
        <v>44196</v>
      </c>
      <c r="S55">
        <v>51.9</v>
      </c>
      <c r="T55" s="1">
        <v>0.55615986197488898</v>
      </c>
      <c r="U55" s="1">
        <v>-0.14053563698611199</v>
      </c>
    </row>
    <row r="56" spans="17:21" x14ac:dyDescent="0.35">
      <c r="Q56">
        <v>20210131</v>
      </c>
      <c r="R56" s="2">
        <f t="shared" si="0"/>
        <v>44227</v>
      </c>
      <c r="S56">
        <v>51.3</v>
      </c>
      <c r="T56" s="1">
        <v>0.245533834150092</v>
      </c>
      <c r="U56" s="1">
        <v>-0.23512304976368401</v>
      </c>
    </row>
    <row r="57" spans="17:21" x14ac:dyDescent="0.35">
      <c r="Q57">
        <v>20210228</v>
      </c>
      <c r="R57" s="2">
        <f t="shared" si="0"/>
        <v>44255</v>
      </c>
      <c r="S57">
        <v>50.6</v>
      </c>
      <c r="T57" s="1">
        <v>-4.8914118848716499E-2</v>
      </c>
      <c r="U57" s="1">
        <v>-0.22472232538363601</v>
      </c>
    </row>
    <row r="58" spans="17:21" x14ac:dyDescent="0.35">
      <c r="Q58">
        <v>20210331</v>
      </c>
      <c r="R58" s="2">
        <f t="shared" si="0"/>
        <v>44286</v>
      </c>
      <c r="S58">
        <v>51.9</v>
      </c>
      <c r="T58" s="1">
        <v>0.43289203568263601</v>
      </c>
      <c r="U58" s="1">
        <v>0.39337748237498699</v>
      </c>
    </row>
    <row r="59" spans="17:21" x14ac:dyDescent="0.35">
      <c r="Q59">
        <v>20210430</v>
      </c>
      <c r="R59" s="2">
        <f t="shared" si="0"/>
        <v>44316</v>
      </c>
      <c r="S59">
        <v>51.1</v>
      </c>
      <c r="T59" s="1">
        <v>6.8237778636231997E-2</v>
      </c>
      <c r="U59" s="1">
        <v>-0.27959954969587902</v>
      </c>
    </row>
    <row r="60" spans="17:21" x14ac:dyDescent="0.35">
      <c r="Q60">
        <v>20210531</v>
      </c>
      <c r="R60" s="2">
        <f t="shared" si="0"/>
        <v>44347</v>
      </c>
      <c r="S60">
        <v>51</v>
      </c>
      <c r="T60" s="1">
        <v>2.4156810194360001E-2</v>
      </c>
      <c r="U60" s="1">
        <v>-3.3599656428252099E-2</v>
      </c>
    </row>
    <row r="61" spans="17:21" x14ac:dyDescent="0.35">
      <c r="Q61">
        <v>20210630</v>
      </c>
      <c r="R61" s="2">
        <f t="shared" si="0"/>
        <v>44377</v>
      </c>
      <c r="S61">
        <v>50.9</v>
      </c>
      <c r="T61" s="1">
        <v>-7.0399804593850304E-3</v>
      </c>
      <c r="U61" s="1">
        <v>-2.78298586328923E-2</v>
      </c>
    </row>
    <row r="62" spans="17:21" x14ac:dyDescent="0.35">
      <c r="Q62">
        <v>20210731</v>
      </c>
      <c r="R62" s="2">
        <f t="shared" si="0"/>
        <v>44408</v>
      </c>
      <c r="S62">
        <v>50.4</v>
      </c>
      <c r="T62" s="1">
        <v>-0.183156898114918</v>
      </c>
      <c r="U62" s="1">
        <v>-0.135232226859093</v>
      </c>
    </row>
    <row r="63" spans="17:21" x14ac:dyDescent="0.35">
      <c r="Q63">
        <v>20210831</v>
      </c>
      <c r="R63" s="2">
        <f t="shared" si="0"/>
        <v>44439</v>
      </c>
      <c r="S63">
        <v>50.1</v>
      </c>
      <c r="T63" s="1">
        <v>-0.25670905451671699</v>
      </c>
      <c r="U63" s="1">
        <v>-5.5582008945874797E-2</v>
      </c>
    </row>
    <row r="64" spans="17:21" x14ac:dyDescent="0.35">
      <c r="Q64">
        <v>20210930</v>
      </c>
      <c r="R64" s="2">
        <f t="shared" si="0"/>
        <v>44469</v>
      </c>
      <c r="S64">
        <v>49.6</v>
      </c>
      <c r="T64" s="1">
        <v>-0.38787718602045201</v>
      </c>
      <c r="U64" s="1">
        <v>-0.10106985389180401</v>
      </c>
    </row>
    <row r="65" spans="17:21" x14ac:dyDescent="0.35">
      <c r="Q65">
        <v>20211031</v>
      </c>
      <c r="R65" s="2">
        <f t="shared" si="0"/>
        <v>44500</v>
      </c>
      <c r="S65">
        <v>49.2</v>
      </c>
      <c r="T65" s="1">
        <v>-0.46166991137608399</v>
      </c>
      <c r="U65" s="1">
        <v>-4.9509821978124501E-2</v>
      </c>
    </row>
    <row r="66" spans="17:21" x14ac:dyDescent="0.35">
      <c r="Q66">
        <v>20211130</v>
      </c>
      <c r="R66" s="2">
        <f t="shared" si="0"/>
        <v>44530</v>
      </c>
      <c r="S66">
        <v>50.1</v>
      </c>
      <c r="T66" s="1">
        <v>-5.1466951831192001E-2</v>
      </c>
      <c r="U66" s="1">
        <v>0.33071297858314302</v>
      </c>
    </row>
    <row r="67" spans="17:21" x14ac:dyDescent="0.35">
      <c r="Q67">
        <v>20211231</v>
      </c>
      <c r="R67" s="2">
        <f t="shared" ref="R67:R118" si="1">DATE(LEFT(Q67,4),MID(Q67,5,2),RIGHT(Q67,2))</f>
        <v>44561</v>
      </c>
      <c r="S67">
        <v>50.3</v>
      </c>
      <c r="T67" s="1">
        <v>2.8502317906356399E-2</v>
      </c>
      <c r="U67" s="1">
        <v>7.36000040648363E-2</v>
      </c>
    </row>
    <row r="68" spans="17:21" x14ac:dyDescent="0.35">
      <c r="Q68">
        <v>20220131</v>
      </c>
      <c r="R68" s="2">
        <f t="shared" si="1"/>
        <v>44592</v>
      </c>
      <c r="S68">
        <v>50.1</v>
      </c>
      <c r="T68" s="1">
        <v>-5.8415392082729202E-2</v>
      </c>
      <c r="U68" s="1">
        <v>-5.5393890322830902E-2</v>
      </c>
    </row>
    <row r="69" spans="17:21" x14ac:dyDescent="0.35">
      <c r="Q69">
        <v>20220228</v>
      </c>
      <c r="R69" s="2">
        <f t="shared" si="1"/>
        <v>44620</v>
      </c>
      <c r="S69">
        <v>50.2</v>
      </c>
      <c r="T69" s="1">
        <v>-1.8871860170900999E-2</v>
      </c>
      <c r="U69" s="1">
        <v>3.8981856508264801E-2</v>
      </c>
    </row>
    <row r="70" spans="17:21" x14ac:dyDescent="0.35">
      <c r="Q70">
        <v>20220331</v>
      </c>
      <c r="R70" s="2">
        <f t="shared" si="1"/>
        <v>44651</v>
      </c>
      <c r="S70">
        <v>49.5</v>
      </c>
      <c r="T70" s="1">
        <v>-0.284865290692072</v>
      </c>
      <c r="U70" s="1">
        <v>-0.20433970933650999</v>
      </c>
    </row>
    <row r="71" spans="17:21" x14ac:dyDescent="0.35">
      <c r="Q71">
        <v>20220430</v>
      </c>
      <c r="R71" s="2">
        <f t="shared" si="1"/>
        <v>44681</v>
      </c>
      <c r="S71">
        <v>47.4</v>
      </c>
      <c r="T71" s="1">
        <v>-1.00547765104123</v>
      </c>
      <c r="U71" s="1">
        <v>-0.56600530787779502</v>
      </c>
    </row>
    <row r="72" spans="17:21" x14ac:dyDescent="0.35">
      <c r="Q72">
        <v>20220531</v>
      </c>
      <c r="R72" s="2">
        <f t="shared" si="1"/>
        <v>44712</v>
      </c>
      <c r="S72">
        <v>49.6</v>
      </c>
      <c r="T72" s="1">
        <v>-1.11161373561509E-2</v>
      </c>
      <c r="U72" s="1">
        <v>0.77235444584021395</v>
      </c>
    </row>
    <row r="73" spans="17:21" x14ac:dyDescent="0.35">
      <c r="Q73">
        <v>20220630</v>
      </c>
      <c r="R73" s="2">
        <f t="shared" si="1"/>
        <v>44742</v>
      </c>
      <c r="S73">
        <v>50.2</v>
      </c>
      <c r="T73" s="1">
        <v>0.20720771391279999</v>
      </c>
      <c r="U73" s="1">
        <v>0.18171057591668499</v>
      </c>
    </row>
    <row r="74" spans="17:21" x14ac:dyDescent="0.35">
      <c r="Q74">
        <v>20220731</v>
      </c>
      <c r="R74" s="2">
        <f t="shared" si="1"/>
        <v>44773</v>
      </c>
      <c r="S74">
        <v>49</v>
      </c>
      <c r="T74" s="1">
        <v>-0.27016963833525898</v>
      </c>
      <c r="U74" s="1">
        <v>-0.36718363191643999</v>
      </c>
    </row>
    <row r="75" spans="17:21" x14ac:dyDescent="0.35">
      <c r="Q75">
        <v>20220831</v>
      </c>
      <c r="R75" s="2">
        <f t="shared" si="1"/>
        <v>44804</v>
      </c>
      <c r="S75">
        <v>49.4</v>
      </c>
      <c r="T75" s="1">
        <v>-7.5630747386759095E-2</v>
      </c>
      <c r="U75" s="1">
        <v>0.15220830667065999</v>
      </c>
    </row>
    <row r="76" spans="17:21" x14ac:dyDescent="0.35">
      <c r="Q76">
        <v>20220930</v>
      </c>
      <c r="R76" s="2">
        <f t="shared" si="1"/>
        <v>44834</v>
      </c>
      <c r="S76">
        <v>50.1</v>
      </c>
      <c r="T76" s="1">
        <v>0.19204078673515501</v>
      </c>
      <c r="U76" s="1">
        <v>0.21267066885115299</v>
      </c>
    </row>
    <row r="77" spans="17:21" x14ac:dyDescent="0.35">
      <c r="Q77">
        <v>20221031</v>
      </c>
      <c r="R77" s="2">
        <f t="shared" si="1"/>
        <v>44865</v>
      </c>
      <c r="S77">
        <v>49.2</v>
      </c>
      <c r="T77" s="1">
        <v>-0.168367739777225</v>
      </c>
      <c r="U77" s="1">
        <v>-0.28414737513226301</v>
      </c>
    </row>
    <row r="78" spans="17:21" x14ac:dyDescent="0.35">
      <c r="Q78">
        <v>20221130</v>
      </c>
      <c r="R78" s="2">
        <f t="shared" si="1"/>
        <v>44895</v>
      </c>
      <c r="S78">
        <v>48</v>
      </c>
      <c r="T78" s="1">
        <v>-0.57856895736486502</v>
      </c>
      <c r="U78" s="1">
        <v>-0.32412139154150998</v>
      </c>
    </row>
    <row r="79" spans="17:21" x14ac:dyDescent="0.35">
      <c r="Q79">
        <v>20221231</v>
      </c>
      <c r="R79" s="2">
        <f t="shared" si="1"/>
        <v>44926</v>
      </c>
      <c r="S79">
        <v>47</v>
      </c>
      <c r="T79" s="1">
        <v>-0.828043323536924</v>
      </c>
      <c r="U79" s="1">
        <v>-0.211000470858762</v>
      </c>
    </row>
    <row r="80" spans="17:21" x14ac:dyDescent="0.35">
      <c r="Q80">
        <v>20230131</v>
      </c>
      <c r="R80" s="2">
        <f t="shared" si="1"/>
        <v>44957</v>
      </c>
      <c r="S80">
        <v>50.1</v>
      </c>
      <c r="T80" s="1">
        <v>0.45189712762087098</v>
      </c>
      <c r="U80" s="1">
        <v>0.99236861947142596</v>
      </c>
    </row>
    <row r="81" spans="17:21" x14ac:dyDescent="0.35">
      <c r="Q81">
        <v>20230228</v>
      </c>
      <c r="R81" s="2">
        <f t="shared" si="1"/>
        <v>44985</v>
      </c>
      <c r="S81">
        <v>52.6</v>
      </c>
      <c r="T81" s="1">
        <v>1.27650779482756</v>
      </c>
      <c r="U81" s="1">
        <v>0.64435460972332603</v>
      </c>
    </row>
    <row r="82" spans="17:21" x14ac:dyDescent="0.35">
      <c r="Q82">
        <v>20230331</v>
      </c>
      <c r="R82" s="2">
        <f t="shared" si="1"/>
        <v>45016</v>
      </c>
      <c r="S82">
        <v>51.9</v>
      </c>
      <c r="T82" s="1">
        <v>1.2376078094922001</v>
      </c>
      <c r="U82" s="1">
        <v>-0.37246662197173602</v>
      </c>
    </row>
    <row r="83" spans="17:21" x14ac:dyDescent="0.35">
      <c r="Q83">
        <v>20230430</v>
      </c>
      <c r="R83" s="2">
        <f t="shared" si="1"/>
        <v>45046</v>
      </c>
      <c r="S83">
        <v>49.2</v>
      </c>
      <c r="T83" s="1">
        <v>-0.82984306431110999</v>
      </c>
      <c r="U83" s="1">
        <v>-0.86559117387537599</v>
      </c>
    </row>
    <row r="84" spans="17:21" x14ac:dyDescent="0.35">
      <c r="Q84">
        <v>20230531</v>
      </c>
      <c r="R84" s="2">
        <f t="shared" si="1"/>
        <v>45077</v>
      </c>
      <c r="S84">
        <v>48.8</v>
      </c>
      <c r="T84" s="1">
        <v>-0.987755908632448</v>
      </c>
      <c r="U84" s="1">
        <v>-7.2064338698678204E-2</v>
      </c>
    </row>
    <row r="85" spans="17:21" x14ac:dyDescent="0.35">
      <c r="Q85">
        <v>20230630</v>
      </c>
      <c r="R85" s="2">
        <f t="shared" si="1"/>
        <v>45107</v>
      </c>
      <c r="S85">
        <v>49</v>
      </c>
      <c r="T85" s="1">
        <v>-0.654454918407955</v>
      </c>
      <c r="U85" s="1">
        <v>0.104643650928575</v>
      </c>
    </row>
    <row r="86" spans="17:21" x14ac:dyDescent="0.35">
      <c r="Q86">
        <v>20230731</v>
      </c>
      <c r="R86" s="2">
        <f t="shared" si="1"/>
        <v>45138</v>
      </c>
      <c r="S86">
        <v>49.3</v>
      </c>
      <c r="T86" s="1">
        <v>-0.29271354586929499</v>
      </c>
      <c r="U86" s="1">
        <v>0.115268052715829</v>
      </c>
    </row>
    <row r="87" spans="17:21" x14ac:dyDescent="0.35">
      <c r="Q87">
        <v>20230831</v>
      </c>
      <c r="R87" s="2">
        <f t="shared" si="1"/>
        <v>45169</v>
      </c>
      <c r="S87">
        <v>49.7</v>
      </c>
      <c r="T87" s="1">
        <v>0.102265978215818</v>
      </c>
      <c r="U87" s="1">
        <v>0.125429325201489</v>
      </c>
    </row>
    <row r="88" spans="17:21" x14ac:dyDescent="0.35">
      <c r="Q88">
        <v>20230930</v>
      </c>
      <c r="R88" s="2">
        <f t="shared" si="1"/>
        <v>45199</v>
      </c>
      <c r="S88">
        <v>50.2</v>
      </c>
      <c r="T88" s="1">
        <v>0.52038378783055605</v>
      </c>
      <c r="U88" s="1">
        <v>0.13052144412438799</v>
      </c>
    </row>
    <row r="89" spans="17:21" x14ac:dyDescent="0.35">
      <c r="Q89">
        <v>20231031</v>
      </c>
      <c r="R89" s="2">
        <f t="shared" si="1"/>
        <v>45230</v>
      </c>
      <c r="S89">
        <v>49.5</v>
      </c>
      <c r="T89" s="1">
        <v>-9.7328032019930302E-2</v>
      </c>
      <c r="U89" s="1">
        <v>-0.22539055281282</v>
      </c>
    </row>
    <row r="90" spans="17:21" x14ac:dyDescent="0.35">
      <c r="Q90">
        <v>20231130</v>
      </c>
      <c r="R90" s="2">
        <f t="shared" si="1"/>
        <v>45260</v>
      </c>
      <c r="S90">
        <v>49.4</v>
      </c>
      <c r="T90" s="1">
        <v>-0.123796231796146</v>
      </c>
      <c r="U90" s="1">
        <v>-2.2214693725414299E-2</v>
      </c>
    </row>
    <row r="91" spans="17:21" x14ac:dyDescent="0.35">
      <c r="Q91">
        <v>20231231</v>
      </c>
      <c r="R91" s="2">
        <f t="shared" si="1"/>
        <v>45291</v>
      </c>
      <c r="S91">
        <v>49</v>
      </c>
      <c r="T91" s="1">
        <v>-0.39426691162545002</v>
      </c>
      <c r="U91" s="1">
        <v>-9.6705214310778304E-2</v>
      </c>
    </row>
    <row r="92" spans="17:21" x14ac:dyDescent="0.35">
      <c r="Q92">
        <v>20240131</v>
      </c>
      <c r="R92" s="2">
        <f t="shared" si="1"/>
        <v>45322</v>
      </c>
      <c r="S92">
        <v>49.2</v>
      </c>
      <c r="T92" s="1">
        <v>-8.9588222225028796E-2</v>
      </c>
      <c r="U92" s="1">
        <v>8.7900659770116907E-2</v>
      </c>
    </row>
    <row r="93" spans="17:21" x14ac:dyDescent="0.35">
      <c r="Q93">
        <v>20240229</v>
      </c>
      <c r="R93" s="2">
        <f t="shared" si="1"/>
        <v>45351</v>
      </c>
      <c r="S93">
        <v>49.1</v>
      </c>
      <c r="T93" s="1">
        <v>-0.11405013290013501</v>
      </c>
      <c r="U93" s="1">
        <v>-1.16447441577044E-2</v>
      </c>
    </row>
    <row r="94" spans="17:21" x14ac:dyDescent="0.35">
      <c r="Q94">
        <v>20240331</v>
      </c>
      <c r="R94" s="2">
        <f t="shared" si="1"/>
        <v>45382</v>
      </c>
      <c r="S94">
        <v>50.8</v>
      </c>
      <c r="T94" s="1">
        <v>1.48028396787933</v>
      </c>
      <c r="U94" s="1">
        <v>0.50664921904915905</v>
      </c>
    </row>
    <row r="95" spans="17:21" x14ac:dyDescent="0.35">
      <c r="Q95">
        <v>20240430</v>
      </c>
      <c r="R95" s="2">
        <f t="shared" si="1"/>
        <v>45412</v>
      </c>
      <c r="S95">
        <v>50.4</v>
      </c>
      <c r="T95" s="1">
        <v>0.90882906770677796</v>
      </c>
      <c r="U95" s="1">
        <v>-0.489063726415077</v>
      </c>
    </row>
    <row r="96" spans="17:21" x14ac:dyDescent="0.35">
      <c r="Q96">
        <v>20240531</v>
      </c>
      <c r="R96" s="2">
        <f t="shared" si="1"/>
        <v>45443</v>
      </c>
      <c r="S96">
        <v>49.5</v>
      </c>
      <c r="T96" s="1">
        <v>-1.99425688982212E-2</v>
      </c>
      <c r="U96" s="1">
        <v>-0.89297017543864898</v>
      </c>
    </row>
    <row r="97" spans="17:21" x14ac:dyDescent="0.35">
      <c r="Q97">
        <v>20240630</v>
      </c>
      <c r="R97" s="2">
        <f t="shared" si="1"/>
        <v>45473</v>
      </c>
      <c r="S97">
        <v>49.5</v>
      </c>
      <c r="T97" s="1">
        <v>2.0106312128475402E-2</v>
      </c>
      <c r="U97" s="1">
        <v>7.3480273135745997E-2</v>
      </c>
    </row>
    <row r="98" spans="17:21" x14ac:dyDescent="0.35">
      <c r="Q98">
        <v>20240731</v>
      </c>
      <c r="R98" s="2">
        <f t="shared" si="1"/>
        <v>45504</v>
      </c>
      <c r="S98">
        <v>49.4</v>
      </c>
      <c r="T98" s="1">
        <v>-3.7247866687225302E-2</v>
      </c>
      <c r="U98" s="1">
        <v>-2.23525041459493E-2</v>
      </c>
    </row>
    <row r="99" spans="17:21" x14ac:dyDescent="0.35">
      <c r="Q99">
        <v>20240831</v>
      </c>
      <c r="R99" s="2">
        <f t="shared" si="1"/>
        <v>45535</v>
      </c>
      <c r="S99">
        <v>49.1</v>
      </c>
      <c r="T99" s="1">
        <v>-0.27361450097908002</v>
      </c>
      <c r="U99" s="1">
        <v>-0.193603830511557</v>
      </c>
    </row>
    <row r="100" spans="17:21" x14ac:dyDescent="0.35">
      <c r="Q100">
        <v>20240930</v>
      </c>
      <c r="R100" s="2">
        <f t="shared" si="1"/>
        <v>45565</v>
      </c>
      <c r="S100">
        <v>49.8</v>
      </c>
      <c r="T100" s="1">
        <v>0.41667542870929902</v>
      </c>
      <c r="U100" s="1">
        <v>0.741964673904975</v>
      </c>
    </row>
    <row r="101" spans="17:21" x14ac:dyDescent="0.35">
      <c r="Q101">
        <v>20241031</v>
      </c>
      <c r="R101" s="2">
        <f t="shared" si="1"/>
        <v>45596</v>
      </c>
      <c r="S101">
        <v>50.1</v>
      </c>
      <c r="T101" s="1">
        <v>0.62030733138904404</v>
      </c>
      <c r="U101" s="1">
        <v>0.261933616586005</v>
      </c>
    </row>
    <row r="102" spans="17:21" x14ac:dyDescent="0.35">
      <c r="Q102">
        <v>20241130</v>
      </c>
      <c r="R102" s="2">
        <f t="shared" si="1"/>
        <v>45626</v>
      </c>
      <c r="S102">
        <v>50.3</v>
      </c>
      <c r="T102" s="1">
        <v>0.69095909359804597</v>
      </c>
      <c r="U102" s="1">
        <v>0.12441485888838801</v>
      </c>
    </row>
    <row r="103" spans="17:21" x14ac:dyDescent="0.35">
      <c r="Q103">
        <v>20241231</v>
      </c>
      <c r="R103" s="2">
        <f t="shared" si="1"/>
        <v>45657</v>
      </c>
      <c r="S103">
        <v>50.1</v>
      </c>
      <c r="T103" s="1">
        <v>0.39500339933192902</v>
      </c>
      <c r="U103" s="1">
        <v>-0.24508037222663601</v>
      </c>
    </row>
    <row r="104" spans="17:21" x14ac:dyDescent="0.35">
      <c r="Q104">
        <v>20250131</v>
      </c>
      <c r="R104" s="2">
        <f t="shared" si="1"/>
        <v>45688</v>
      </c>
      <c r="S104">
        <v>49.1</v>
      </c>
      <c r="T104" s="1">
        <v>-0.56446852519809398</v>
      </c>
      <c r="U104" s="1">
        <v>-0.92834903099406996</v>
      </c>
    </row>
    <row r="105" spans="17:21" x14ac:dyDescent="0.35">
      <c r="Q105">
        <v>20250228</v>
      </c>
      <c r="R105" s="2">
        <f t="shared" si="1"/>
        <v>45716</v>
      </c>
      <c r="S105">
        <v>50.2</v>
      </c>
      <c r="T105" s="1">
        <v>0.53847895009044799</v>
      </c>
      <c r="U105" s="1">
        <v>1.1096593878188501</v>
      </c>
    </row>
    <row r="106" spans="17:21" x14ac:dyDescent="0.35">
      <c r="Q106">
        <v>20250331</v>
      </c>
      <c r="R106" s="2">
        <f t="shared" si="1"/>
        <v>45747</v>
      </c>
      <c r="S106">
        <v>50.5</v>
      </c>
      <c r="T106" s="1">
        <v>0.72248697277847695</v>
      </c>
      <c r="U106" s="1">
        <v>0.18591421601902999</v>
      </c>
    </row>
    <row r="107" spans="17:21" x14ac:dyDescent="0.35">
      <c r="Q107">
        <v>20250430</v>
      </c>
      <c r="R107" s="2">
        <f t="shared" si="1"/>
        <v>45777</v>
      </c>
      <c r="S107">
        <v>49</v>
      </c>
      <c r="T107" s="1">
        <v>-0.75594626201418302</v>
      </c>
      <c r="U107" s="1">
        <v>-1.44896999886003</v>
      </c>
    </row>
    <row r="108" spans="17:21" x14ac:dyDescent="0.35">
      <c r="Q108">
        <v>20250531</v>
      </c>
      <c r="R108" s="2">
        <f t="shared" si="1"/>
        <v>45808</v>
      </c>
      <c r="S108">
        <v>49.5</v>
      </c>
      <c r="T108" s="1">
        <v>-0.252421833535387</v>
      </c>
      <c r="U108" s="1">
        <v>0.58712769762168404</v>
      </c>
    </row>
    <row r="109" spans="17:21" x14ac:dyDescent="0.35">
      <c r="Q109">
        <v>20250630</v>
      </c>
      <c r="R109" s="2">
        <f t="shared" si="1"/>
        <v>45838</v>
      </c>
      <c r="S109">
        <v>49.7</v>
      </c>
      <c r="T109" s="1">
        <v>-1.6397239668452E-2</v>
      </c>
      <c r="U109" s="1">
        <v>0.21743868423003099</v>
      </c>
    </row>
    <row r="110" spans="17:21" x14ac:dyDescent="0.35">
      <c r="Q110">
        <v>20250731</v>
      </c>
      <c r="R110" s="2">
        <f t="shared" si="1"/>
        <v>45869</v>
      </c>
      <c r="S110">
        <v>49.3</v>
      </c>
      <c r="T110" s="1">
        <v>-0.39036317722567998</v>
      </c>
      <c r="U110" s="1">
        <v>-0.35448843295273103</v>
      </c>
    </row>
    <row r="111" spans="17:21" x14ac:dyDescent="0.35">
      <c r="Q111">
        <v>20250831</v>
      </c>
      <c r="R111" s="2">
        <f t="shared" si="1"/>
        <v>45900</v>
      </c>
      <c r="S111">
        <v>49.4</v>
      </c>
      <c r="T111" s="1">
        <v>-0.24240453833808701</v>
      </c>
      <c r="U111" s="1">
        <v>0.142332237647008</v>
      </c>
    </row>
    <row r="112" spans="17:21" x14ac:dyDescent="0.35">
      <c r="Q112">
        <v>20250930</v>
      </c>
      <c r="R112" s="2">
        <f t="shared" si="1"/>
        <v>45930</v>
      </c>
      <c r="S112">
        <v>49.8</v>
      </c>
      <c r="T112" s="1">
        <v>0.18727248651800599</v>
      </c>
      <c r="U112" s="1">
        <v>0.37970143658893102</v>
      </c>
    </row>
    <row r="113" spans="17:21" x14ac:dyDescent="0.35">
      <c r="Q113">
        <v>20251031</v>
      </c>
      <c r="R113" s="2">
        <f t="shared" si="1"/>
        <v>45961</v>
      </c>
      <c r="S113">
        <v>49</v>
      </c>
      <c r="T113" s="1">
        <v>-0.61982530771222799</v>
      </c>
      <c r="U113" s="1">
        <v>-0.76187117263708104</v>
      </c>
    </row>
    <row r="114" spans="17:21" x14ac:dyDescent="0.35">
      <c r="Q114">
        <v>20251130</v>
      </c>
      <c r="R114" s="2">
        <f t="shared" si="1"/>
        <v>45991</v>
      </c>
      <c r="S114">
        <v>49.2</v>
      </c>
      <c r="T114" s="1">
        <v>-0.32157647150683999</v>
      </c>
      <c r="U114" s="1">
        <v>0.25005751556189998</v>
      </c>
    </row>
    <row r="115" spans="17:21" x14ac:dyDescent="0.35">
      <c r="Q115">
        <v>20251231</v>
      </c>
      <c r="R115" s="2">
        <f t="shared" si="1"/>
        <v>46022</v>
      </c>
      <c r="S115">
        <v>50.1</v>
      </c>
      <c r="T115" s="1">
        <v>0.59972847291547704</v>
      </c>
      <c r="U115" s="1">
        <v>0.85122286625911603</v>
      </c>
    </row>
    <row r="116" spans="17:21" x14ac:dyDescent="0.35">
      <c r="Q116">
        <v>20260131</v>
      </c>
      <c r="R116" s="2">
        <f t="shared" si="1"/>
        <v>46053</v>
      </c>
      <c r="S116">
        <v>49.3</v>
      </c>
      <c r="T116" s="1">
        <v>-0.43171110370156501</v>
      </c>
      <c r="U116" s="1">
        <v>-0.80390824847458997</v>
      </c>
    </row>
    <row r="117" spans="17:21" x14ac:dyDescent="0.35">
      <c r="Q117">
        <v>20260228</v>
      </c>
      <c r="R117" s="2">
        <f t="shared" si="1"/>
        <v>46081</v>
      </c>
      <c r="S117">
        <v>49</v>
      </c>
      <c r="T117" s="1">
        <v>-0.68565790296988205</v>
      </c>
      <c r="U117" s="1">
        <v>-0.22472044596617799</v>
      </c>
    </row>
    <row r="118" spans="17:21" x14ac:dyDescent="0.35">
      <c r="Q118">
        <v>20260331</v>
      </c>
      <c r="R118" s="2">
        <f t="shared" si="1"/>
        <v>46112</v>
      </c>
      <c r="S118">
        <v>50.4</v>
      </c>
      <c r="T118" s="1">
        <v>1.46300135070132</v>
      </c>
      <c r="U118" s="1">
        <v>1.3133110794590099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F8BB-628F-4D9A-858E-5B44C9AEA0CC}">
  <dimension ref="A1:E118"/>
  <sheetViews>
    <sheetView workbookViewId="0">
      <selection activeCell="H30" sqref="H30"/>
    </sheetView>
  </sheetViews>
  <sheetFormatPr defaultRowHeight="14.15" x14ac:dyDescent="0.35"/>
  <cols>
    <col min="1" max="1" width="11.28515625" bestFit="1" customWidth="1"/>
    <col min="2" max="2" width="10.640625" bestFit="1" customWidth="1"/>
    <col min="4" max="4" width="15.42578125" style="1" bestFit="1" customWidth="1"/>
    <col min="5" max="5" width="17.78515625" style="1" bestFit="1" customWidth="1"/>
  </cols>
  <sheetData>
    <row r="1" spans="1:5" x14ac:dyDescent="0.35">
      <c r="A1" t="s">
        <v>0</v>
      </c>
      <c r="C1" t="s">
        <v>3</v>
      </c>
      <c r="D1" s="1" t="s">
        <v>1</v>
      </c>
      <c r="E1" s="1" t="s">
        <v>2</v>
      </c>
    </row>
    <row r="2" spans="1:5" x14ac:dyDescent="0.35">
      <c r="A2">
        <v>20160731</v>
      </c>
      <c r="B2" s="2">
        <f>DATE(LEFT(A2,4),MID(A2,5,2),RIGHT(A2,2))</f>
        <v>42582</v>
      </c>
      <c r="C2">
        <v>6</v>
      </c>
      <c r="D2" s="1">
        <v>-0.19964927547585101</v>
      </c>
    </row>
    <row r="3" spans="1:5" x14ac:dyDescent="0.35">
      <c r="A3">
        <v>20160831</v>
      </c>
      <c r="B3" s="2">
        <f t="shared" ref="B3:B66" si="0">DATE(LEFT(A3,4),MID(A3,5,2),RIGHT(A3,2))</f>
        <v>42613</v>
      </c>
      <c r="C3">
        <v>6.3</v>
      </c>
      <c r="D3" s="1">
        <v>0.376078782364625</v>
      </c>
      <c r="E3" s="1">
        <v>0.53009082903806304</v>
      </c>
    </row>
    <row r="4" spans="1:5" x14ac:dyDescent="0.35">
      <c r="A4">
        <v>20160930</v>
      </c>
      <c r="B4" s="2">
        <f t="shared" si="0"/>
        <v>42643</v>
      </c>
      <c r="C4">
        <v>6.1</v>
      </c>
      <c r="D4" s="1">
        <v>-5.9572821351645801E-2</v>
      </c>
      <c r="E4" s="1">
        <v>-0.25564027382511501</v>
      </c>
    </row>
    <row r="5" spans="1:5" x14ac:dyDescent="0.35">
      <c r="A5">
        <v>20161031</v>
      </c>
      <c r="B5" s="2">
        <f t="shared" si="0"/>
        <v>42674</v>
      </c>
      <c r="C5">
        <v>6.1</v>
      </c>
      <c r="D5" s="1">
        <v>-5.0095414905311698E-2</v>
      </c>
      <c r="E5" s="1">
        <v>8.9181802637951293E-2</v>
      </c>
    </row>
    <row r="6" spans="1:5" x14ac:dyDescent="0.35">
      <c r="A6">
        <v>20161130</v>
      </c>
      <c r="B6" s="2">
        <f t="shared" si="0"/>
        <v>42704</v>
      </c>
      <c r="C6">
        <v>6.2</v>
      </c>
      <c r="D6" s="1">
        <v>0.15131791789007401</v>
      </c>
      <c r="E6" s="1">
        <v>0.233438096795064</v>
      </c>
    </row>
    <row r="7" spans="1:5" x14ac:dyDescent="0.35">
      <c r="A7">
        <v>20161231</v>
      </c>
      <c r="B7" s="2">
        <f t="shared" si="0"/>
        <v>42735</v>
      </c>
      <c r="C7">
        <v>6</v>
      </c>
      <c r="D7" s="1">
        <v>-0.27172374360696999</v>
      </c>
      <c r="E7" s="1">
        <v>-0.24818740515276499</v>
      </c>
    </row>
    <row r="8" spans="1:5" x14ac:dyDescent="0.35">
      <c r="A8">
        <v>20170131</v>
      </c>
      <c r="B8" s="2">
        <f t="shared" si="0"/>
        <v>42766</v>
      </c>
      <c r="D8" s="1">
        <v>7.8033344344364403E-2</v>
      </c>
      <c r="E8" s="1">
        <v>0.346889028371616</v>
      </c>
    </row>
    <row r="9" spans="1:5" x14ac:dyDescent="0.35">
      <c r="A9">
        <v>20170228</v>
      </c>
      <c r="B9" s="2">
        <f t="shared" si="0"/>
        <v>42794</v>
      </c>
      <c r="C9">
        <v>6.3</v>
      </c>
      <c r="D9" s="1">
        <v>0.37369257475951001</v>
      </c>
      <c r="E9" s="1">
        <v>0.297842548040749</v>
      </c>
    </row>
    <row r="10" spans="1:5" x14ac:dyDescent="0.35">
      <c r="A10">
        <v>20170331</v>
      </c>
      <c r="B10" s="2">
        <f t="shared" si="0"/>
        <v>42825</v>
      </c>
      <c r="C10">
        <v>7.6</v>
      </c>
      <c r="D10" s="1">
        <v>3</v>
      </c>
      <c r="E10" s="1">
        <v>2.0982519967884801</v>
      </c>
    </row>
    <row r="11" spans="1:5" x14ac:dyDescent="0.35">
      <c r="A11">
        <v>20170430</v>
      </c>
      <c r="B11" s="2">
        <f t="shared" si="0"/>
        <v>42855</v>
      </c>
      <c r="C11">
        <v>6.5</v>
      </c>
      <c r="D11" s="1">
        <v>0.126812511079508</v>
      </c>
      <c r="E11" s="1">
        <v>-2.0143038997784202</v>
      </c>
    </row>
    <row r="12" spans="1:5" x14ac:dyDescent="0.35">
      <c r="A12">
        <v>20170531</v>
      </c>
      <c r="B12" s="2">
        <f t="shared" si="0"/>
        <v>42886</v>
      </c>
      <c r="C12">
        <v>6.5</v>
      </c>
      <c r="D12" s="1">
        <v>8.6989317977917993E-2</v>
      </c>
      <c r="E12" s="1">
        <v>2.4144105081384599E-2</v>
      </c>
    </row>
    <row r="13" spans="1:5" x14ac:dyDescent="0.35">
      <c r="A13">
        <v>20170630</v>
      </c>
      <c r="B13" s="2">
        <f t="shared" si="0"/>
        <v>42916</v>
      </c>
      <c r="C13">
        <v>7.6</v>
      </c>
      <c r="D13" s="1">
        <v>2.1508808560339299</v>
      </c>
      <c r="E13" s="1">
        <v>1.63074563959356</v>
      </c>
    </row>
    <row r="14" spans="1:5" x14ac:dyDescent="0.35">
      <c r="A14">
        <v>20170731</v>
      </c>
      <c r="B14" s="2">
        <f t="shared" si="0"/>
        <v>42947</v>
      </c>
      <c r="C14">
        <v>6.4</v>
      </c>
      <c r="D14" s="1">
        <v>-0.52864302125415896</v>
      </c>
      <c r="E14" s="1">
        <v>-1.96470257582091</v>
      </c>
    </row>
    <row r="15" spans="1:5" x14ac:dyDescent="0.35">
      <c r="A15">
        <v>20170831</v>
      </c>
      <c r="B15" s="2">
        <f t="shared" si="0"/>
        <v>42978</v>
      </c>
      <c r="C15">
        <v>6</v>
      </c>
      <c r="D15" s="1">
        <v>-1.19434667314934</v>
      </c>
      <c r="E15" s="1">
        <v>-0.44289767535708302</v>
      </c>
    </row>
    <row r="16" spans="1:5" x14ac:dyDescent="0.35">
      <c r="A16">
        <v>20170930</v>
      </c>
      <c r="B16" s="2">
        <f t="shared" si="0"/>
        <v>43008</v>
      </c>
      <c r="C16">
        <v>6.6</v>
      </c>
      <c r="D16" s="1">
        <v>9.4565359788797695E-2</v>
      </c>
      <c r="E16" s="1">
        <v>1.01783295228336</v>
      </c>
    </row>
    <row r="17" spans="1:5" x14ac:dyDescent="0.35">
      <c r="A17">
        <v>20171031</v>
      </c>
      <c r="B17" s="2">
        <f t="shared" si="0"/>
        <v>43039</v>
      </c>
      <c r="C17">
        <v>6.2</v>
      </c>
      <c r="D17" s="1">
        <v>-0.67923222226907398</v>
      </c>
      <c r="E17" s="1">
        <v>-0.53299824086529601</v>
      </c>
    </row>
    <row r="18" spans="1:5" x14ac:dyDescent="0.35">
      <c r="A18">
        <v>20171130</v>
      </c>
      <c r="B18" s="2">
        <f t="shared" si="0"/>
        <v>43069</v>
      </c>
      <c r="C18">
        <v>6.1</v>
      </c>
      <c r="D18" s="1">
        <v>-0.76660910173325902</v>
      </c>
      <c r="E18" s="1">
        <v>-1.6236219024520299E-2</v>
      </c>
    </row>
    <row r="19" spans="1:5" x14ac:dyDescent="0.35">
      <c r="A19">
        <v>20171231</v>
      </c>
      <c r="B19" s="2">
        <f t="shared" si="0"/>
        <v>43100</v>
      </c>
      <c r="C19">
        <v>6.2</v>
      </c>
      <c r="D19" s="1">
        <v>-0.46219190662056697</v>
      </c>
      <c r="E19" s="1">
        <v>0.27814443678584799</v>
      </c>
    </row>
    <row r="20" spans="1:5" x14ac:dyDescent="0.35">
      <c r="A20">
        <v>20180131</v>
      </c>
      <c r="B20" s="2">
        <f t="shared" si="0"/>
        <v>43131</v>
      </c>
      <c r="D20" s="1">
        <v>0.54778426370154998</v>
      </c>
      <c r="E20" s="1">
        <v>0.81247137339516196</v>
      </c>
    </row>
    <row r="21" spans="1:5" x14ac:dyDescent="0.35">
      <c r="A21">
        <v>20180228</v>
      </c>
      <c r="B21" s="2">
        <f t="shared" si="0"/>
        <v>43159</v>
      </c>
      <c r="C21">
        <v>7.2</v>
      </c>
      <c r="D21" s="1">
        <v>1.5264437722692801</v>
      </c>
      <c r="E21" s="1">
        <v>0.67670221229856997</v>
      </c>
    </row>
    <row r="22" spans="1:5" x14ac:dyDescent="0.35">
      <c r="A22">
        <v>20180331</v>
      </c>
      <c r="B22" s="2">
        <f t="shared" si="0"/>
        <v>43190</v>
      </c>
      <c r="C22">
        <v>6</v>
      </c>
      <c r="D22" s="1">
        <v>-1.1188844010974399</v>
      </c>
      <c r="E22" s="1">
        <v>-1.90052287995201</v>
      </c>
    </row>
    <row r="23" spans="1:5" x14ac:dyDescent="0.35">
      <c r="A23">
        <v>20180430</v>
      </c>
      <c r="B23" s="2">
        <f t="shared" si="0"/>
        <v>43220</v>
      </c>
      <c r="C23">
        <v>7</v>
      </c>
      <c r="D23" s="1">
        <v>1.02441435800229</v>
      </c>
      <c r="E23" s="1">
        <v>1.5798892151853701</v>
      </c>
    </row>
    <row r="24" spans="1:5" x14ac:dyDescent="0.35">
      <c r="A24">
        <v>20180531</v>
      </c>
      <c r="B24" s="2">
        <f t="shared" si="0"/>
        <v>43251</v>
      </c>
      <c r="C24">
        <v>6.8</v>
      </c>
      <c r="D24" s="1">
        <v>0.39330986711580601</v>
      </c>
      <c r="E24" s="1">
        <v>-0.370344441814001</v>
      </c>
    </row>
    <row r="25" spans="1:5" x14ac:dyDescent="0.35">
      <c r="A25">
        <v>20180630</v>
      </c>
      <c r="B25" s="2">
        <f t="shared" si="0"/>
        <v>43281</v>
      </c>
      <c r="C25">
        <v>6</v>
      </c>
      <c r="D25" s="1">
        <v>-1.3388108958465501</v>
      </c>
      <c r="E25" s="1">
        <v>-1.13976920450339</v>
      </c>
    </row>
    <row r="26" spans="1:5" x14ac:dyDescent="0.35">
      <c r="A26">
        <v>20180731</v>
      </c>
      <c r="B26" s="2">
        <f t="shared" si="0"/>
        <v>43312</v>
      </c>
      <c r="C26">
        <v>6</v>
      </c>
      <c r="D26" s="1">
        <v>-1.0848548104636699</v>
      </c>
      <c r="E26" s="1">
        <v>0.181316083481946</v>
      </c>
    </row>
    <row r="27" spans="1:5" x14ac:dyDescent="0.35">
      <c r="A27">
        <v>20180831</v>
      </c>
      <c r="B27" s="2">
        <f t="shared" si="0"/>
        <v>43343</v>
      </c>
      <c r="C27">
        <v>6.1</v>
      </c>
      <c r="D27" s="1">
        <v>-0.706012423294888</v>
      </c>
      <c r="E27" s="1">
        <v>0.300333464916687</v>
      </c>
    </row>
    <row r="28" spans="1:5" x14ac:dyDescent="0.35">
      <c r="A28">
        <v>20180930</v>
      </c>
      <c r="B28" s="2">
        <f t="shared" si="0"/>
        <v>43373</v>
      </c>
      <c r="C28">
        <v>5.8</v>
      </c>
      <c r="D28" s="1">
        <v>-1.18924757630953</v>
      </c>
      <c r="E28" s="1">
        <v>-0.30968202785843502</v>
      </c>
    </row>
    <row r="29" spans="1:5" x14ac:dyDescent="0.35">
      <c r="A29">
        <v>20181031</v>
      </c>
      <c r="B29" s="2">
        <f t="shared" si="0"/>
        <v>43404</v>
      </c>
      <c r="C29">
        <v>5.9</v>
      </c>
      <c r="D29" s="1">
        <v>-0.81045149360448199</v>
      </c>
      <c r="E29" s="1">
        <v>0.32372610474954699</v>
      </c>
    </row>
    <row r="30" spans="1:5" x14ac:dyDescent="0.35">
      <c r="A30">
        <v>20181130</v>
      </c>
      <c r="B30" s="2">
        <f t="shared" si="0"/>
        <v>43434</v>
      </c>
      <c r="C30">
        <v>5.4</v>
      </c>
      <c r="D30" s="1">
        <v>-1.7189449447645599</v>
      </c>
      <c r="E30" s="1">
        <v>-0.59191338389984804</v>
      </c>
    </row>
    <row r="31" spans="1:5" x14ac:dyDescent="0.35">
      <c r="A31">
        <v>20181231</v>
      </c>
      <c r="B31" s="2">
        <f t="shared" si="0"/>
        <v>43465</v>
      </c>
      <c r="C31">
        <v>5.7</v>
      </c>
      <c r="D31" s="1">
        <v>-0.778058828627059</v>
      </c>
      <c r="E31" s="1">
        <v>0.68449813447766805</v>
      </c>
    </row>
    <row r="32" spans="1:5" x14ac:dyDescent="0.35">
      <c r="A32">
        <v>20190131</v>
      </c>
      <c r="B32" s="2">
        <f t="shared" si="0"/>
        <v>43496</v>
      </c>
      <c r="D32" s="1">
        <v>-1.0273669134888099</v>
      </c>
      <c r="E32" s="1">
        <v>-0.15712787941338999</v>
      </c>
    </row>
    <row r="33" spans="1:5" x14ac:dyDescent="0.35">
      <c r="A33">
        <v>20190228</v>
      </c>
      <c r="B33" s="2">
        <f t="shared" si="0"/>
        <v>43524</v>
      </c>
      <c r="C33">
        <v>5.3</v>
      </c>
      <c r="D33" s="1">
        <v>-1.24012556886096</v>
      </c>
      <c r="E33" s="1">
        <v>-0.12364782841158101</v>
      </c>
    </row>
    <row r="34" spans="1:5" x14ac:dyDescent="0.35">
      <c r="A34">
        <v>20190331</v>
      </c>
      <c r="B34" s="2">
        <f t="shared" si="0"/>
        <v>43555</v>
      </c>
      <c r="C34">
        <v>8.5</v>
      </c>
      <c r="D34" s="1">
        <v>3</v>
      </c>
      <c r="E34" s="1">
        <v>3</v>
      </c>
    </row>
    <row r="35" spans="1:5" x14ac:dyDescent="0.35">
      <c r="A35">
        <v>20190430</v>
      </c>
      <c r="B35" s="2">
        <f t="shared" si="0"/>
        <v>43585</v>
      </c>
      <c r="C35">
        <v>5.4</v>
      </c>
      <c r="D35" s="1">
        <v>-1.35749364080923</v>
      </c>
      <c r="E35" s="1">
        <v>-3</v>
      </c>
    </row>
    <row r="36" spans="1:5" x14ac:dyDescent="0.35">
      <c r="A36">
        <v>20190531</v>
      </c>
      <c r="B36" s="2">
        <f t="shared" si="0"/>
        <v>43616</v>
      </c>
      <c r="C36">
        <v>5</v>
      </c>
      <c r="D36" s="1">
        <v>-1.6777423623446699</v>
      </c>
      <c r="E36" s="1">
        <v>-0.27420420814507701</v>
      </c>
    </row>
    <row r="37" spans="1:5" x14ac:dyDescent="0.35">
      <c r="A37">
        <v>20190630</v>
      </c>
      <c r="B37" s="2">
        <f t="shared" si="0"/>
        <v>43646</v>
      </c>
      <c r="C37">
        <v>6.3</v>
      </c>
      <c r="D37" s="1">
        <v>0.51453500172455202</v>
      </c>
      <c r="E37" s="1">
        <v>1.5767329066917899</v>
      </c>
    </row>
    <row r="38" spans="1:5" x14ac:dyDescent="0.35">
      <c r="A38">
        <v>20190731</v>
      </c>
      <c r="B38" s="2">
        <f t="shared" si="0"/>
        <v>43677</v>
      </c>
      <c r="C38">
        <v>4.8</v>
      </c>
      <c r="D38" s="1">
        <v>-1.6800195220116301</v>
      </c>
      <c r="E38" s="1">
        <v>-1.60618832427799</v>
      </c>
    </row>
    <row r="39" spans="1:5" x14ac:dyDescent="0.35">
      <c r="A39">
        <v>20190831</v>
      </c>
      <c r="B39" s="2">
        <f t="shared" si="0"/>
        <v>43708</v>
      </c>
      <c r="C39">
        <v>4.4000000000000004</v>
      </c>
      <c r="D39" s="1">
        <v>-1.8686819501952701</v>
      </c>
      <c r="E39" s="1">
        <v>-0.19794608828084301</v>
      </c>
    </row>
    <row r="40" spans="1:5" x14ac:dyDescent="0.35">
      <c r="A40">
        <v>20190930</v>
      </c>
      <c r="B40" s="2">
        <f t="shared" si="0"/>
        <v>43738</v>
      </c>
      <c r="C40">
        <v>5.8</v>
      </c>
      <c r="D40" s="1">
        <v>0.38131174695022302</v>
      </c>
      <c r="E40" s="1">
        <v>1.68019689458343</v>
      </c>
    </row>
    <row r="41" spans="1:5" x14ac:dyDescent="0.35">
      <c r="A41">
        <v>20191031</v>
      </c>
      <c r="B41" s="2">
        <f t="shared" si="0"/>
        <v>43769</v>
      </c>
      <c r="C41">
        <v>4.7</v>
      </c>
      <c r="D41" s="1">
        <v>-1.0985184707064599</v>
      </c>
      <c r="E41" s="1">
        <v>-1.1377806983483401</v>
      </c>
    </row>
    <row r="42" spans="1:5" x14ac:dyDescent="0.35">
      <c r="A42">
        <v>20191130</v>
      </c>
      <c r="B42" s="2">
        <f t="shared" si="0"/>
        <v>43799</v>
      </c>
      <c r="C42">
        <v>6.2</v>
      </c>
      <c r="D42" s="1">
        <v>1.0556213050880201</v>
      </c>
      <c r="E42" s="1">
        <v>1.6185966696217799</v>
      </c>
    </row>
    <row r="43" spans="1:5" x14ac:dyDescent="0.35">
      <c r="A43">
        <v>20191231</v>
      </c>
      <c r="B43" s="2">
        <f t="shared" si="0"/>
        <v>43830</v>
      </c>
      <c r="C43">
        <v>6.9</v>
      </c>
      <c r="D43" s="1">
        <v>1.76348808435444</v>
      </c>
      <c r="E43" s="1">
        <v>0.55587373215069202</v>
      </c>
    </row>
    <row r="44" spans="1:5" x14ac:dyDescent="0.35">
      <c r="A44">
        <v>20200131</v>
      </c>
      <c r="B44" s="2">
        <f t="shared" si="0"/>
        <v>43861</v>
      </c>
      <c r="D44" s="1">
        <v>-3</v>
      </c>
      <c r="E44" s="1">
        <v>-3</v>
      </c>
    </row>
    <row r="45" spans="1:5" x14ac:dyDescent="0.35">
      <c r="A45">
        <v>20200229</v>
      </c>
      <c r="B45" s="2">
        <f t="shared" si="0"/>
        <v>43890</v>
      </c>
      <c r="C45">
        <v>-13.5</v>
      </c>
      <c r="D45" s="1">
        <v>-3</v>
      </c>
      <c r="E45" s="1">
        <v>-3</v>
      </c>
    </row>
    <row r="46" spans="1:5" x14ac:dyDescent="0.35">
      <c r="A46">
        <v>20200331</v>
      </c>
      <c r="B46" s="2">
        <f t="shared" si="0"/>
        <v>43921</v>
      </c>
      <c r="C46">
        <v>-1.1000000000000001</v>
      </c>
      <c r="D46" s="1">
        <v>-0.56932924662006001</v>
      </c>
      <c r="E46" s="1">
        <v>3</v>
      </c>
    </row>
    <row r="47" spans="1:5" x14ac:dyDescent="0.35">
      <c r="A47">
        <v>20200430</v>
      </c>
      <c r="B47" s="2">
        <f t="shared" si="0"/>
        <v>43951</v>
      </c>
      <c r="C47">
        <v>3.9</v>
      </c>
      <c r="D47" s="1">
        <v>1.0648037039924201</v>
      </c>
      <c r="E47" s="1">
        <v>1.75213529204519</v>
      </c>
    </row>
    <row r="48" spans="1:5" x14ac:dyDescent="0.35">
      <c r="A48">
        <v>20200531</v>
      </c>
      <c r="B48" s="2">
        <f t="shared" si="0"/>
        <v>43982</v>
      </c>
      <c r="C48">
        <v>4.4000000000000004</v>
      </c>
      <c r="D48" s="1">
        <v>1.0546837508395699</v>
      </c>
      <c r="E48" s="1">
        <v>1.06896634581146E-2</v>
      </c>
    </row>
    <row r="49" spans="1:5" x14ac:dyDescent="0.35">
      <c r="A49">
        <v>20200630</v>
      </c>
      <c r="B49" s="2">
        <f t="shared" si="0"/>
        <v>44012</v>
      </c>
      <c r="C49">
        <v>4.8</v>
      </c>
      <c r="D49" s="1">
        <v>1.01124790195307</v>
      </c>
      <c r="E49" s="1">
        <v>-2.47461132662017E-2</v>
      </c>
    </row>
    <row r="50" spans="1:5" x14ac:dyDescent="0.35">
      <c r="A50">
        <v>20200731</v>
      </c>
      <c r="B50" s="2">
        <f t="shared" si="0"/>
        <v>44043</v>
      </c>
      <c r="C50">
        <v>4.8</v>
      </c>
      <c r="D50" s="1">
        <v>0.86939739395119697</v>
      </c>
      <c r="E50" s="1">
        <v>-0.14526133845491901</v>
      </c>
    </row>
    <row r="51" spans="1:5" x14ac:dyDescent="0.35">
      <c r="A51">
        <v>20200831</v>
      </c>
      <c r="B51" s="2">
        <f t="shared" si="0"/>
        <v>44074</v>
      </c>
      <c r="C51">
        <v>5.6</v>
      </c>
      <c r="D51" s="1">
        <v>0.96571535156263899</v>
      </c>
      <c r="E51" s="1">
        <v>0.121387747689816</v>
      </c>
    </row>
    <row r="52" spans="1:5" x14ac:dyDescent="0.35">
      <c r="A52">
        <v>20200930</v>
      </c>
      <c r="B52" s="2">
        <f t="shared" si="0"/>
        <v>44104</v>
      </c>
      <c r="C52">
        <v>6.9</v>
      </c>
      <c r="D52" s="1">
        <v>1.1708058455677499</v>
      </c>
      <c r="E52" s="1">
        <v>0.25403941965165899</v>
      </c>
    </row>
    <row r="53" spans="1:5" x14ac:dyDescent="0.35">
      <c r="A53">
        <v>20201031</v>
      </c>
      <c r="B53" s="2">
        <f t="shared" si="0"/>
        <v>44135</v>
      </c>
      <c r="C53">
        <v>6.9</v>
      </c>
      <c r="D53" s="1">
        <v>0.970427847056065</v>
      </c>
      <c r="E53" s="1">
        <v>-0.19643332176494499</v>
      </c>
    </row>
    <row r="54" spans="1:5" x14ac:dyDescent="0.35">
      <c r="A54">
        <v>20201130</v>
      </c>
      <c r="B54" s="2">
        <f t="shared" si="0"/>
        <v>44165</v>
      </c>
      <c r="C54">
        <v>7</v>
      </c>
      <c r="D54" s="1">
        <v>0.83227665633113201</v>
      </c>
      <c r="E54" s="1">
        <v>-0.135265731759486</v>
      </c>
    </row>
    <row r="55" spans="1:5" x14ac:dyDescent="0.35">
      <c r="A55">
        <v>20201231</v>
      </c>
      <c r="B55" s="2">
        <f t="shared" si="0"/>
        <v>44196</v>
      </c>
      <c r="C55">
        <v>7.3</v>
      </c>
      <c r="D55" s="1">
        <v>0.770859820534048</v>
      </c>
      <c r="E55" s="1">
        <v>-5.26839333542422E-2</v>
      </c>
    </row>
    <row r="56" spans="1:5" x14ac:dyDescent="0.35">
      <c r="A56">
        <v>20210131</v>
      </c>
      <c r="B56" s="2">
        <f t="shared" si="0"/>
        <v>44227</v>
      </c>
      <c r="D56" s="1">
        <v>3</v>
      </c>
      <c r="E56" s="1">
        <v>3</v>
      </c>
    </row>
    <row r="57" spans="1:5" x14ac:dyDescent="0.35">
      <c r="A57">
        <v>20210228</v>
      </c>
      <c r="B57" s="2">
        <f t="shared" si="0"/>
        <v>44255</v>
      </c>
      <c r="C57">
        <v>35.1</v>
      </c>
      <c r="D57" s="1">
        <v>3</v>
      </c>
      <c r="E57" s="1">
        <v>2.9372095409456001</v>
      </c>
    </row>
    <row r="58" spans="1:5" x14ac:dyDescent="0.35">
      <c r="A58">
        <v>20210331</v>
      </c>
      <c r="B58" s="2">
        <f t="shared" si="0"/>
        <v>44286</v>
      </c>
      <c r="C58">
        <v>14.1</v>
      </c>
      <c r="D58" s="1">
        <v>0.20384811788871099</v>
      </c>
      <c r="E58" s="1">
        <v>-3</v>
      </c>
    </row>
    <row r="59" spans="1:5" x14ac:dyDescent="0.35">
      <c r="A59">
        <v>20210430</v>
      </c>
      <c r="B59" s="2">
        <f t="shared" si="0"/>
        <v>44316</v>
      </c>
      <c r="C59">
        <v>9.8000000000000007</v>
      </c>
      <c r="D59" s="1">
        <v>-0.522328727797993</v>
      </c>
      <c r="E59" s="1">
        <v>-0.84307973660709601</v>
      </c>
    </row>
    <row r="60" spans="1:5" x14ac:dyDescent="0.35">
      <c r="A60">
        <v>20210531</v>
      </c>
      <c r="B60" s="2">
        <f t="shared" si="0"/>
        <v>44347</v>
      </c>
      <c r="C60">
        <v>8.8000000000000007</v>
      </c>
      <c r="D60" s="1">
        <v>-0.60521480892602597</v>
      </c>
      <c r="E60" s="1">
        <v>-0.10464036216249099</v>
      </c>
    </row>
    <row r="61" spans="1:5" x14ac:dyDescent="0.35">
      <c r="A61">
        <v>20210630</v>
      </c>
      <c r="B61" s="2">
        <f t="shared" si="0"/>
        <v>44377</v>
      </c>
      <c r="C61">
        <v>8.3000000000000007</v>
      </c>
      <c r="D61" s="1">
        <v>-0.59414995265614801</v>
      </c>
      <c r="E61" s="1">
        <v>4.8815696293301103E-3</v>
      </c>
    </row>
    <row r="62" spans="1:5" x14ac:dyDescent="0.35">
      <c r="A62">
        <v>20210731</v>
      </c>
      <c r="B62" s="2">
        <f t="shared" si="0"/>
        <v>44408</v>
      </c>
      <c r="C62">
        <v>6.4</v>
      </c>
      <c r="D62" s="1">
        <v>-0.79828394044250395</v>
      </c>
      <c r="E62" s="1">
        <v>-0.24109697425974599</v>
      </c>
    </row>
    <row r="63" spans="1:5" x14ac:dyDescent="0.35">
      <c r="A63">
        <v>20210831</v>
      </c>
      <c r="B63" s="2">
        <f t="shared" si="0"/>
        <v>44439</v>
      </c>
      <c r="C63">
        <v>5.3</v>
      </c>
      <c r="D63" s="1">
        <v>-0.83687860369616596</v>
      </c>
      <c r="E63" s="1">
        <v>-5.7836894596889898E-2</v>
      </c>
    </row>
    <row r="64" spans="1:5" x14ac:dyDescent="0.35">
      <c r="A64">
        <v>20210930</v>
      </c>
      <c r="B64" s="2">
        <f t="shared" si="0"/>
        <v>44469</v>
      </c>
      <c r="C64">
        <v>3.1</v>
      </c>
      <c r="D64" s="1">
        <v>-1.02579822832579</v>
      </c>
      <c r="E64" s="1">
        <v>-0.24369136700461499</v>
      </c>
    </row>
    <row r="65" spans="1:5" x14ac:dyDescent="0.35">
      <c r="A65">
        <v>20211031</v>
      </c>
      <c r="B65" s="2">
        <f t="shared" si="0"/>
        <v>44500</v>
      </c>
      <c r="C65">
        <v>3.5</v>
      </c>
      <c r="D65" s="1">
        <v>-0.78605496811526898</v>
      </c>
      <c r="E65" s="1">
        <v>0.27066963286166201</v>
      </c>
    </row>
    <row r="66" spans="1:5" x14ac:dyDescent="0.35">
      <c r="A66">
        <v>20211130</v>
      </c>
      <c r="B66" s="2">
        <f t="shared" si="0"/>
        <v>44530</v>
      </c>
      <c r="C66">
        <v>3.8</v>
      </c>
      <c r="D66" s="1">
        <v>-0.60617940496427103</v>
      </c>
      <c r="E66" s="1">
        <v>0.2079517587595</v>
      </c>
    </row>
    <row r="67" spans="1:5" x14ac:dyDescent="0.35">
      <c r="A67">
        <v>20211231</v>
      </c>
      <c r="B67" s="2">
        <f t="shared" ref="B67:B118" si="1">DATE(LEFT(A67,4),MID(A67,5,2),RIGHT(A67,2))</f>
        <v>44561</v>
      </c>
      <c r="C67">
        <v>4.3</v>
      </c>
      <c r="D67" s="1">
        <v>-0.43158034981078303</v>
      </c>
      <c r="E67" s="1">
        <v>0.21021611171115501</v>
      </c>
    </row>
    <row r="68" spans="1:5" x14ac:dyDescent="0.35">
      <c r="A68">
        <v>20220131</v>
      </c>
      <c r="B68" s="2">
        <f t="shared" si="1"/>
        <v>44592</v>
      </c>
      <c r="D68" s="1">
        <v>-0.127387766105268</v>
      </c>
      <c r="E68" s="1">
        <v>0.373275484068953</v>
      </c>
    </row>
    <row r="69" spans="1:5" x14ac:dyDescent="0.35">
      <c r="A69">
        <v>20220228</v>
      </c>
      <c r="B69" s="2">
        <f t="shared" si="1"/>
        <v>44620</v>
      </c>
      <c r="C69">
        <v>7.5</v>
      </c>
      <c r="D69" s="1">
        <v>0.121851731534056</v>
      </c>
      <c r="E69" s="1">
        <v>0.31132494559479301</v>
      </c>
    </row>
    <row r="70" spans="1:5" x14ac:dyDescent="0.35">
      <c r="A70">
        <v>20220331</v>
      </c>
      <c r="B70" s="2">
        <f t="shared" si="1"/>
        <v>44651</v>
      </c>
      <c r="C70">
        <v>5</v>
      </c>
      <c r="D70" s="1">
        <v>-0.267027474549139</v>
      </c>
      <c r="E70" s="1">
        <v>-0.47340119232406602</v>
      </c>
    </row>
    <row r="71" spans="1:5" x14ac:dyDescent="0.35">
      <c r="A71">
        <v>20220430</v>
      </c>
      <c r="B71" s="2">
        <f t="shared" si="1"/>
        <v>44681</v>
      </c>
      <c r="C71">
        <v>-2.9</v>
      </c>
      <c r="D71" s="1">
        <v>-1.3549525863761001</v>
      </c>
      <c r="E71" s="1">
        <v>-1.35806083301272</v>
      </c>
    </row>
    <row r="72" spans="1:5" x14ac:dyDescent="0.35">
      <c r="A72">
        <v>20220531</v>
      </c>
      <c r="B72" s="2">
        <f t="shared" si="1"/>
        <v>44712</v>
      </c>
      <c r="C72">
        <v>0.7</v>
      </c>
      <c r="D72" s="1">
        <v>-0.57786286173169799</v>
      </c>
      <c r="E72" s="1">
        <v>0.917857285112604</v>
      </c>
    </row>
    <row r="73" spans="1:5" x14ac:dyDescent="0.35">
      <c r="A73">
        <v>20220630</v>
      </c>
      <c r="B73" s="2">
        <f t="shared" si="1"/>
        <v>44742</v>
      </c>
      <c r="C73">
        <v>3.9</v>
      </c>
      <c r="D73" s="1">
        <v>-2.0414698021779899E-2</v>
      </c>
      <c r="E73" s="1">
        <v>0.68675117546033804</v>
      </c>
    </row>
    <row r="74" spans="1:5" x14ac:dyDescent="0.35">
      <c r="A74">
        <v>20220731</v>
      </c>
      <c r="B74" s="2">
        <f t="shared" si="1"/>
        <v>44773</v>
      </c>
      <c r="C74">
        <v>3.8</v>
      </c>
      <c r="D74" s="1">
        <v>-2.1959843376081999E-2</v>
      </c>
      <c r="E74" s="1">
        <v>-6.1679858131586602E-3</v>
      </c>
    </row>
    <row r="75" spans="1:5" x14ac:dyDescent="0.35">
      <c r="A75">
        <v>20220831</v>
      </c>
      <c r="B75" s="2">
        <f t="shared" si="1"/>
        <v>44804</v>
      </c>
      <c r="C75">
        <v>4.2</v>
      </c>
      <c r="D75" s="1">
        <v>4.1537903410731401E-2</v>
      </c>
      <c r="E75" s="1">
        <v>8.1528912227027794E-2</v>
      </c>
    </row>
    <row r="76" spans="1:5" x14ac:dyDescent="0.35">
      <c r="A76">
        <v>20220930</v>
      </c>
      <c r="B76" s="2">
        <f t="shared" si="1"/>
        <v>44834</v>
      </c>
      <c r="C76">
        <v>6.3</v>
      </c>
      <c r="D76" s="1">
        <v>0.33119574465706703</v>
      </c>
      <c r="E76" s="1">
        <v>0.36160363544356</v>
      </c>
    </row>
    <row r="77" spans="1:5" x14ac:dyDescent="0.35">
      <c r="A77">
        <v>20221031</v>
      </c>
      <c r="B77" s="2">
        <f t="shared" si="1"/>
        <v>44865</v>
      </c>
      <c r="C77">
        <v>5</v>
      </c>
      <c r="D77" s="1">
        <v>9.5371834230566499E-2</v>
      </c>
      <c r="E77" s="1">
        <v>-0.28968317238139302</v>
      </c>
    </row>
    <row r="78" spans="1:5" x14ac:dyDescent="0.35">
      <c r="A78">
        <v>20221130</v>
      </c>
      <c r="B78" s="2">
        <f t="shared" si="1"/>
        <v>44895</v>
      </c>
      <c r="C78">
        <v>2.2000000000000002</v>
      </c>
      <c r="D78" s="1">
        <v>-0.31357353347250599</v>
      </c>
      <c r="E78" s="1">
        <v>-0.49845657532870102</v>
      </c>
    </row>
    <row r="79" spans="1:5" x14ac:dyDescent="0.35">
      <c r="A79">
        <v>20221231</v>
      </c>
      <c r="B79" s="2">
        <f t="shared" si="1"/>
        <v>44926</v>
      </c>
      <c r="C79">
        <v>1.3</v>
      </c>
      <c r="D79" s="1">
        <v>-0.37566878425962702</v>
      </c>
      <c r="E79" s="1">
        <v>-8.5758894236025895E-2</v>
      </c>
    </row>
    <row r="80" spans="1:5" x14ac:dyDescent="0.35">
      <c r="A80">
        <v>20230131</v>
      </c>
      <c r="B80" s="2">
        <f t="shared" si="1"/>
        <v>44957</v>
      </c>
      <c r="D80" s="1">
        <v>-0.218664679446233</v>
      </c>
      <c r="E80" s="1">
        <v>0.18106117749498399</v>
      </c>
    </row>
    <row r="81" spans="1:5" x14ac:dyDescent="0.35">
      <c r="A81">
        <v>20230228</v>
      </c>
      <c r="B81" s="2">
        <f t="shared" si="1"/>
        <v>44985</v>
      </c>
      <c r="C81">
        <v>2.4</v>
      </c>
      <c r="D81" s="1">
        <v>-0.130812548210999</v>
      </c>
      <c r="E81" s="1">
        <v>0.15046806301037799</v>
      </c>
    </row>
    <row r="82" spans="1:5" x14ac:dyDescent="0.35">
      <c r="A82">
        <v>20230331</v>
      </c>
      <c r="B82" s="2">
        <f t="shared" si="1"/>
        <v>45016</v>
      </c>
      <c r="C82">
        <v>3.9</v>
      </c>
      <c r="D82" s="1">
        <v>4.5263348034588299E-2</v>
      </c>
      <c r="E82" s="1">
        <v>0.28786361173946701</v>
      </c>
    </row>
    <row r="83" spans="1:5" x14ac:dyDescent="0.35">
      <c r="A83">
        <v>20230430</v>
      </c>
      <c r="B83" s="2">
        <f t="shared" si="1"/>
        <v>45046</v>
      </c>
      <c r="C83">
        <v>5.6</v>
      </c>
      <c r="D83" s="1">
        <v>0.28725834762921398</v>
      </c>
      <c r="E83" s="1">
        <v>0.28476830953958898</v>
      </c>
    </row>
    <row r="84" spans="1:5" x14ac:dyDescent="0.35">
      <c r="A84">
        <v>20230531</v>
      </c>
      <c r="B84" s="2">
        <f t="shared" si="1"/>
        <v>45077</v>
      </c>
      <c r="C84">
        <v>3.5</v>
      </c>
      <c r="D84" s="1">
        <v>-9.9253614026171694E-2</v>
      </c>
      <c r="E84" s="1">
        <v>-0.43234019835728299</v>
      </c>
    </row>
    <row r="85" spans="1:5" x14ac:dyDescent="0.35">
      <c r="A85">
        <v>20230630</v>
      </c>
      <c r="B85" s="2">
        <f t="shared" si="1"/>
        <v>45107</v>
      </c>
      <c r="C85">
        <v>4.4000000000000004</v>
      </c>
      <c r="D85" s="1">
        <v>6.3686831349687306E-2</v>
      </c>
      <c r="E85" s="1">
        <v>0.158489315198862</v>
      </c>
    </row>
    <row r="86" spans="1:5" x14ac:dyDescent="0.35">
      <c r="A86">
        <v>20230731</v>
      </c>
      <c r="B86" s="2">
        <f t="shared" si="1"/>
        <v>45138</v>
      </c>
      <c r="C86">
        <v>3.7</v>
      </c>
      <c r="D86" s="1">
        <v>-5.6336602214059298E-2</v>
      </c>
      <c r="E86" s="1">
        <v>-0.140515675535309</v>
      </c>
    </row>
    <row r="87" spans="1:5" x14ac:dyDescent="0.35">
      <c r="A87">
        <v>20230831</v>
      </c>
      <c r="B87" s="2">
        <f t="shared" si="1"/>
        <v>45169</v>
      </c>
      <c r="C87">
        <v>4.5</v>
      </c>
      <c r="D87" s="1">
        <v>8.5501001085296693E-2</v>
      </c>
      <c r="E87" s="1">
        <v>0.13716075370752701</v>
      </c>
    </row>
    <row r="88" spans="1:5" x14ac:dyDescent="0.35">
      <c r="A88">
        <v>20230930</v>
      </c>
      <c r="B88" s="2">
        <f t="shared" si="1"/>
        <v>45199</v>
      </c>
      <c r="C88">
        <v>4.5</v>
      </c>
      <c r="D88" s="1">
        <v>7.7435380284708699E-2</v>
      </c>
      <c r="E88" s="1">
        <v>-2.6388318329873501E-2</v>
      </c>
    </row>
    <row r="89" spans="1:5" x14ac:dyDescent="0.35">
      <c r="A89">
        <v>20231031</v>
      </c>
      <c r="B89" s="2">
        <f t="shared" si="1"/>
        <v>45230</v>
      </c>
      <c r="C89">
        <v>4.5999999999999996</v>
      </c>
      <c r="D89" s="1">
        <v>9.2751950571673902E-2</v>
      </c>
      <c r="E89" s="1">
        <v>-2.94109801605994E-5</v>
      </c>
    </row>
    <row r="90" spans="1:5" x14ac:dyDescent="0.35">
      <c r="A90">
        <v>20231130</v>
      </c>
      <c r="B90" s="2">
        <f t="shared" si="1"/>
        <v>45260</v>
      </c>
      <c r="C90">
        <v>6.6</v>
      </c>
      <c r="D90" s="1">
        <v>0.413334638437657</v>
      </c>
      <c r="E90" s="1">
        <v>0.32406794759685797</v>
      </c>
    </row>
    <row r="91" spans="1:5" x14ac:dyDescent="0.35">
      <c r="A91">
        <v>20231231</v>
      </c>
      <c r="B91" s="2">
        <f t="shared" si="1"/>
        <v>45291</v>
      </c>
      <c r="C91">
        <v>6.8</v>
      </c>
      <c r="D91" s="1">
        <v>0.384115120218814</v>
      </c>
      <c r="E91" s="1">
        <v>-3.8707028522036599E-2</v>
      </c>
    </row>
    <row r="92" spans="1:5" x14ac:dyDescent="0.35">
      <c r="A92">
        <v>20240131</v>
      </c>
      <c r="B92" s="2">
        <f t="shared" si="1"/>
        <v>45322</v>
      </c>
      <c r="D92" s="1">
        <v>0.34366002140332103</v>
      </c>
      <c r="E92" s="1">
        <v>-4.82361389394622E-2</v>
      </c>
    </row>
    <row r="93" spans="1:5" x14ac:dyDescent="0.35">
      <c r="A93">
        <v>20240229</v>
      </c>
      <c r="B93" s="2">
        <f t="shared" si="1"/>
        <v>45351</v>
      </c>
      <c r="C93">
        <v>7</v>
      </c>
      <c r="D93" s="1">
        <v>0.41445224829383298</v>
      </c>
      <c r="E93" s="1">
        <v>-8.0790728271066203E-2</v>
      </c>
    </row>
    <row r="94" spans="1:5" x14ac:dyDescent="0.35">
      <c r="A94">
        <v>20240331</v>
      </c>
      <c r="B94" s="2">
        <f t="shared" si="1"/>
        <v>45382</v>
      </c>
      <c r="C94">
        <v>4.5</v>
      </c>
      <c r="D94" s="1">
        <v>7.7892212752219595E-2</v>
      </c>
      <c r="E94" s="1">
        <v>-0.58977877165176895</v>
      </c>
    </row>
    <row r="95" spans="1:5" x14ac:dyDescent="0.35">
      <c r="A95">
        <v>20240430</v>
      </c>
      <c r="B95" s="2">
        <f t="shared" si="1"/>
        <v>45412</v>
      </c>
      <c r="C95">
        <v>6.7</v>
      </c>
      <c r="D95" s="1">
        <v>0.96990827738204399</v>
      </c>
      <c r="E95" s="1">
        <v>0.46292983119589298</v>
      </c>
    </row>
    <row r="96" spans="1:5" x14ac:dyDescent="0.35">
      <c r="A96">
        <v>20240531</v>
      </c>
      <c r="B96" s="2">
        <f t="shared" si="1"/>
        <v>45443</v>
      </c>
      <c r="C96">
        <v>5.6</v>
      </c>
      <c r="D96" s="1">
        <v>0.44519209882257899</v>
      </c>
      <c r="E96" s="1">
        <v>-0.26171643345446399</v>
      </c>
    </row>
    <row r="97" spans="1:5" x14ac:dyDescent="0.35">
      <c r="A97">
        <v>20240630</v>
      </c>
      <c r="B97" s="2">
        <f t="shared" si="1"/>
        <v>45473</v>
      </c>
      <c r="C97">
        <v>5.3</v>
      </c>
      <c r="D97" s="1">
        <v>0.30151091454725998</v>
      </c>
      <c r="E97" s="1">
        <v>-5.2392873392604698E-2</v>
      </c>
    </row>
    <row r="98" spans="1:5" x14ac:dyDescent="0.35">
      <c r="A98">
        <v>20240731</v>
      </c>
      <c r="B98" s="2">
        <f t="shared" si="1"/>
        <v>45504</v>
      </c>
      <c r="C98">
        <v>5.0999999999999996</v>
      </c>
      <c r="D98" s="1">
        <v>0.214112117368222</v>
      </c>
      <c r="E98" s="1">
        <v>-2.1107601474692199E-2</v>
      </c>
    </row>
    <row r="99" spans="1:5" x14ac:dyDescent="0.35">
      <c r="A99">
        <v>20240831</v>
      </c>
      <c r="B99" s="2">
        <f t="shared" si="1"/>
        <v>45535</v>
      </c>
      <c r="C99">
        <v>4.5</v>
      </c>
      <c r="D99" s="1">
        <v>-2.5918072713577399E-2</v>
      </c>
      <c r="E99" s="1">
        <v>-9.8092357047312603E-2</v>
      </c>
    </row>
    <row r="100" spans="1:5" x14ac:dyDescent="0.35">
      <c r="A100">
        <v>20240930</v>
      </c>
      <c r="B100" s="2">
        <f t="shared" si="1"/>
        <v>45565</v>
      </c>
      <c r="C100">
        <v>5.4</v>
      </c>
      <c r="D100" s="1">
        <v>0.33547106682945099</v>
      </c>
      <c r="E100" s="1">
        <v>0.22694788395031401</v>
      </c>
    </row>
    <row r="101" spans="1:5" x14ac:dyDescent="0.35">
      <c r="A101">
        <v>20241031</v>
      </c>
      <c r="B101" s="2">
        <f t="shared" si="1"/>
        <v>45596</v>
      </c>
      <c r="C101">
        <v>5.3</v>
      </c>
      <c r="D101" s="1">
        <v>0.23693555548971301</v>
      </c>
      <c r="E101" s="1">
        <v>-8.9690746078293308E-3</v>
      </c>
    </row>
    <row r="102" spans="1:5" x14ac:dyDescent="0.35">
      <c r="A102">
        <v>20241130</v>
      </c>
      <c r="B102" s="2">
        <f t="shared" si="1"/>
        <v>45626</v>
      </c>
      <c r="C102">
        <v>5.4</v>
      </c>
      <c r="D102" s="1">
        <v>0.23308825411852499</v>
      </c>
      <c r="E102" s="1">
        <v>3.3368801215058697E-2</v>
      </c>
    </row>
    <row r="103" spans="1:5" x14ac:dyDescent="0.35">
      <c r="A103">
        <v>20241231</v>
      </c>
      <c r="B103" s="2">
        <f t="shared" si="1"/>
        <v>45657</v>
      </c>
      <c r="C103">
        <v>6.2</v>
      </c>
      <c r="D103" s="1">
        <v>0.54843789086282302</v>
      </c>
      <c r="E103" s="1">
        <v>0.17011851845289799</v>
      </c>
    </row>
    <row r="104" spans="1:5" x14ac:dyDescent="0.35">
      <c r="A104">
        <v>20250131</v>
      </c>
      <c r="B104" s="2">
        <f t="shared" si="1"/>
        <v>45688</v>
      </c>
      <c r="D104" s="1">
        <v>0.37738297980607999</v>
      </c>
      <c r="E104" s="1">
        <v>-5.0704546560056199E-2</v>
      </c>
    </row>
    <row r="105" spans="1:5" x14ac:dyDescent="0.35">
      <c r="A105">
        <v>20250228</v>
      </c>
      <c r="B105" s="2">
        <f t="shared" si="1"/>
        <v>45716</v>
      </c>
      <c r="C105">
        <v>5.9</v>
      </c>
      <c r="D105" s="1">
        <v>0.247773153399413</v>
      </c>
      <c r="E105" s="1">
        <v>1.7939193427734802E-2</v>
      </c>
    </row>
    <row r="106" spans="1:5" x14ac:dyDescent="0.35">
      <c r="A106">
        <v>20250331</v>
      </c>
      <c r="B106" s="2">
        <f t="shared" si="1"/>
        <v>45747</v>
      </c>
      <c r="C106">
        <v>7.7</v>
      </c>
      <c r="D106" s="1">
        <v>1.0652971380693901</v>
      </c>
      <c r="E106" s="1">
        <v>0.55443919531845898</v>
      </c>
    </row>
    <row r="107" spans="1:5" x14ac:dyDescent="0.35">
      <c r="A107">
        <v>20250430</v>
      </c>
      <c r="B107" s="2">
        <f t="shared" si="1"/>
        <v>45777</v>
      </c>
      <c r="C107">
        <v>6.1</v>
      </c>
      <c r="D107" s="1">
        <v>0.123954234778707</v>
      </c>
      <c r="E107" s="1">
        <v>-0.93411067444756202</v>
      </c>
    </row>
    <row r="108" spans="1:5" x14ac:dyDescent="0.35">
      <c r="A108">
        <v>20250531</v>
      </c>
      <c r="B108" s="2">
        <f t="shared" si="1"/>
        <v>45808</v>
      </c>
      <c r="C108">
        <v>5.8</v>
      </c>
      <c r="D108" s="1">
        <v>-0.21610601249682801</v>
      </c>
      <c r="E108" s="1">
        <v>-0.194141534240968</v>
      </c>
    </row>
    <row r="109" spans="1:5" x14ac:dyDescent="0.35">
      <c r="A109">
        <v>20250630</v>
      </c>
      <c r="B109" s="2">
        <f t="shared" si="1"/>
        <v>45838</v>
      </c>
      <c r="C109">
        <v>6.8</v>
      </c>
      <c r="D109" s="1">
        <v>0.45792613550886402</v>
      </c>
      <c r="E109" s="1">
        <v>0.49235263166327198</v>
      </c>
    </row>
    <row r="110" spans="1:5" x14ac:dyDescent="0.35">
      <c r="A110">
        <v>20250731</v>
      </c>
      <c r="B110" s="2">
        <f t="shared" si="1"/>
        <v>45869</v>
      </c>
      <c r="C110">
        <v>5.7</v>
      </c>
      <c r="D110" s="1">
        <v>-0.53621905737406395</v>
      </c>
      <c r="E110" s="1">
        <v>-0.67067942905960398</v>
      </c>
    </row>
    <row r="111" spans="1:5" x14ac:dyDescent="0.35">
      <c r="A111">
        <v>20250831</v>
      </c>
      <c r="B111" s="2">
        <f t="shared" si="1"/>
        <v>45900</v>
      </c>
      <c r="C111">
        <v>5.2</v>
      </c>
      <c r="D111" s="1">
        <v>-0.88784521901992797</v>
      </c>
      <c r="E111" s="1">
        <v>-0.27060430346717901</v>
      </c>
    </row>
    <row r="112" spans="1:5" x14ac:dyDescent="0.35">
      <c r="A112">
        <v>20250930</v>
      </c>
      <c r="B112" s="2">
        <f t="shared" si="1"/>
        <v>45930</v>
      </c>
      <c r="C112">
        <v>6.5</v>
      </c>
      <c r="D112" s="1">
        <v>0.24393540937146499</v>
      </c>
      <c r="E112" s="1">
        <v>0.68342702856941695</v>
      </c>
    </row>
    <row r="113" spans="1:5" x14ac:dyDescent="0.35">
      <c r="A113">
        <v>20251031</v>
      </c>
      <c r="B113" s="2">
        <f t="shared" si="1"/>
        <v>45961</v>
      </c>
      <c r="C113">
        <v>4.9000000000000004</v>
      </c>
      <c r="D113" s="1">
        <v>-1.0698740105400399</v>
      </c>
      <c r="E113" s="1">
        <v>-0.94106241726646001</v>
      </c>
    </row>
    <row r="114" spans="1:5" x14ac:dyDescent="0.35">
      <c r="A114">
        <v>20251130</v>
      </c>
      <c r="B114" s="2">
        <f t="shared" si="1"/>
        <v>45991</v>
      </c>
      <c r="C114">
        <v>4.8</v>
      </c>
      <c r="D114" s="1">
        <v>-0.96820397857648699</v>
      </c>
      <c r="E114" s="1">
        <v>-7.7505289539387201E-3</v>
      </c>
    </row>
    <row r="115" spans="1:5" x14ac:dyDescent="0.35">
      <c r="A115">
        <v>20251231</v>
      </c>
      <c r="B115" s="2">
        <f t="shared" si="1"/>
        <v>46022</v>
      </c>
      <c r="C115">
        <v>5.2</v>
      </c>
      <c r="D115" s="1">
        <v>-0.59014126820117996</v>
      </c>
      <c r="E115" s="1">
        <v>0.25291572891997699</v>
      </c>
    </row>
    <row r="116" spans="1:5" x14ac:dyDescent="0.35">
      <c r="A116">
        <v>20260131</v>
      </c>
      <c r="B116" s="2">
        <f t="shared" si="1"/>
        <v>46053</v>
      </c>
      <c r="D116" s="1">
        <v>-0.14916987702054901</v>
      </c>
      <c r="E116" s="1">
        <v>0.292322803950956</v>
      </c>
    </row>
    <row r="117" spans="1:5" x14ac:dyDescent="0.35">
      <c r="A117">
        <v>20260228</v>
      </c>
      <c r="B117" s="2">
        <f t="shared" si="1"/>
        <v>46081</v>
      </c>
      <c r="C117">
        <v>6.3</v>
      </c>
      <c r="D117" s="1">
        <v>0.29927686667738301</v>
      </c>
      <c r="E117" s="1">
        <v>0.26120575564079401</v>
      </c>
    </row>
    <row r="118" spans="1:5" x14ac:dyDescent="0.35">
      <c r="A118">
        <v>20260331</v>
      </c>
      <c r="B118" s="2">
        <f t="shared" si="1"/>
        <v>46112</v>
      </c>
      <c r="C118">
        <v>5.7</v>
      </c>
      <c r="D118" s="1">
        <v>-0.456839445006189</v>
      </c>
      <c r="E118" s="1">
        <v>-0.36492226635924202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87E9-1F1B-4ED7-9183-66D3CDFC364D}">
  <dimension ref="A1:E118"/>
  <sheetViews>
    <sheetView workbookViewId="0">
      <selection activeCell="B2" sqref="B2"/>
    </sheetView>
  </sheetViews>
  <sheetFormatPr defaultRowHeight="14.15" x14ac:dyDescent="0.35"/>
  <cols>
    <col min="2" max="2" width="10.640625" bestFit="1" customWidth="1"/>
    <col min="4" max="4" width="16.5" style="1" bestFit="1" customWidth="1"/>
    <col min="5" max="5" width="17.78515625" style="1" bestFit="1" customWidth="1"/>
  </cols>
  <sheetData>
    <row r="1" spans="1:5" x14ac:dyDescent="0.35">
      <c r="A1" t="s">
        <v>0</v>
      </c>
      <c r="C1" t="s">
        <v>3</v>
      </c>
      <c r="D1" s="1" t="s">
        <v>1</v>
      </c>
      <c r="E1" s="1" t="s">
        <v>2</v>
      </c>
    </row>
    <row r="2" spans="1:5" x14ac:dyDescent="0.35">
      <c r="A2">
        <v>20160731</v>
      </c>
      <c r="B2" s="2">
        <f>DATE(LEFT(A2,4),MID(A2,5,2),RIGHT(A2,2))</f>
        <v>42582</v>
      </c>
      <c r="C2">
        <v>-1.7</v>
      </c>
      <c r="D2" s="1">
        <v>2.2674572794969001</v>
      </c>
    </row>
    <row r="3" spans="1:5" x14ac:dyDescent="0.35">
      <c r="A3">
        <v>20160831</v>
      </c>
      <c r="B3" s="2">
        <f t="shared" ref="B3:B66" si="0">DATE(LEFT(A3,4),MID(A3,5,2),RIGHT(A3,2))</f>
        <v>42613</v>
      </c>
      <c r="C3">
        <v>-0.8</v>
      </c>
      <c r="D3" s="1">
        <v>2.3586611366650199</v>
      </c>
      <c r="E3" s="1">
        <v>0.85636979094455901</v>
      </c>
    </row>
    <row r="4" spans="1:5" x14ac:dyDescent="0.35">
      <c r="A4">
        <v>20160930</v>
      </c>
      <c r="B4" s="2">
        <f t="shared" si="0"/>
        <v>42643</v>
      </c>
      <c r="C4">
        <v>0.1</v>
      </c>
      <c r="D4" s="1">
        <v>2.3373662006108198</v>
      </c>
      <c r="E4" s="1">
        <v>0.66283991730670699</v>
      </c>
    </row>
    <row r="5" spans="1:5" x14ac:dyDescent="0.35">
      <c r="A5">
        <v>20161031</v>
      </c>
      <c r="B5" s="2">
        <f t="shared" si="0"/>
        <v>42674</v>
      </c>
      <c r="C5">
        <v>1.2</v>
      </c>
      <c r="D5" s="1">
        <v>2.3970815660635401</v>
      </c>
      <c r="E5" s="1">
        <v>0.91008651904272597</v>
      </c>
    </row>
    <row r="6" spans="1:5" x14ac:dyDescent="0.35">
      <c r="A6">
        <v>20161130</v>
      </c>
      <c r="B6" s="2">
        <f t="shared" si="0"/>
        <v>42704</v>
      </c>
      <c r="C6">
        <v>3.3</v>
      </c>
      <c r="D6" s="1">
        <v>2.9655318564216899</v>
      </c>
      <c r="E6" s="1">
        <v>2.7264068478987502</v>
      </c>
    </row>
    <row r="7" spans="1:5" x14ac:dyDescent="0.35">
      <c r="A7">
        <v>20161231</v>
      </c>
      <c r="B7" s="2">
        <f t="shared" si="0"/>
        <v>42735</v>
      </c>
      <c r="C7">
        <v>5.5</v>
      </c>
      <c r="D7" s="1">
        <v>3</v>
      </c>
      <c r="E7" s="1">
        <v>2.0636398014387898</v>
      </c>
    </row>
    <row r="8" spans="1:5" x14ac:dyDescent="0.35">
      <c r="A8">
        <v>20170131</v>
      </c>
      <c r="B8" s="2">
        <f t="shared" si="0"/>
        <v>42766</v>
      </c>
      <c r="C8">
        <v>6.9</v>
      </c>
      <c r="D8" s="1">
        <v>2.7342380992603501</v>
      </c>
      <c r="E8" s="1">
        <v>0.16118569741514899</v>
      </c>
    </row>
    <row r="9" spans="1:5" x14ac:dyDescent="0.35">
      <c r="A9">
        <v>20170228</v>
      </c>
      <c r="B9" s="2">
        <f t="shared" si="0"/>
        <v>42794</v>
      </c>
      <c r="C9">
        <v>7.8</v>
      </c>
      <c r="D9" s="1">
        <v>2.25742729908302</v>
      </c>
      <c r="E9" s="1">
        <v>-0.78805549418376697</v>
      </c>
    </row>
    <row r="10" spans="1:5" x14ac:dyDescent="0.35">
      <c r="A10">
        <v>20170331</v>
      </c>
      <c r="B10" s="2">
        <f t="shared" si="0"/>
        <v>42825</v>
      </c>
      <c r="C10">
        <v>7.6</v>
      </c>
      <c r="D10" s="1">
        <v>1.5478226261116601</v>
      </c>
      <c r="E10" s="1">
        <v>-2.6059332729005402</v>
      </c>
    </row>
    <row r="11" spans="1:5" x14ac:dyDescent="0.35">
      <c r="A11">
        <v>20170430</v>
      </c>
      <c r="B11" s="2">
        <f t="shared" si="0"/>
        <v>42855</v>
      </c>
      <c r="C11">
        <v>6.4</v>
      </c>
      <c r="D11" s="1">
        <v>0.70591154158806302</v>
      </c>
      <c r="E11" s="1">
        <v>-3</v>
      </c>
    </row>
    <row r="12" spans="1:5" x14ac:dyDescent="0.35">
      <c r="A12">
        <v>20170531</v>
      </c>
      <c r="B12" s="2">
        <f t="shared" si="0"/>
        <v>42886</v>
      </c>
      <c r="C12">
        <v>5.5</v>
      </c>
      <c r="D12" s="1">
        <v>0.15676339681522</v>
      </c>
      <c r="E12" s="1">
        <v>-2.0326179874161099</v>
      </c>
    </row>
    <row r="13" spans="1:5" x14ac:dyDescent="0.35">
      <c r="A13">
        <v>20170630</v>
      </c>
      <c r="B13" s="2">
        <f t="shared" si="0"/>
        <v>42916</v>
      </c>
      <c r="C13">
        <v>5.5</v>
      </c>
      <c r="D13" s="1">
        <v>2.9706949782351201E-2</v>
      </c>
      <c r="E13" s="1">
        <v>-0.46124038437371001</v>
      </c>
    </row>
    <row r="14" spans="1:5" x14ac:dyDescent="0.35">
      <c r="A14">
        <v>20170731</v>
      </c>
      <c r="B14" s="2">
        <f t="shared" si="0"/>
        <v>42947</v>
      </c>
      <c r="C14">
        <v>5.5</v>
      </c>
      <c r="D14" s="1">
        <v>-7.7864559915966303E-2</v>
      </c>
      <c r="E14" s="1">
        <v>-0.38648758165166502</v>
      </c>
    </row>
    <row r="15" spans="1:5" x14ac:dyDescent="0.35">
      <c r="A15">
        <v>20170831</v>
      </c>
      <c r="B15" s="2">
        <f t="shared" si="0"/>
        <v>42978</v>
      </c>
      <c r="C15">
        <v>6.3</v>
      </c>
      <c r="D15" s="1">
        <v>0.13722674963671899</v>
      </c>
      <c r="E15" s="1">
        <v>0.70129267611296497</v>
      </c>
    </row>
    <row r="16" spans="1:5" x14ac:dyDescent="0.35">
      <c r="A16">
        <v>20170930</v>
      </c>
      <c r="B16" s="2">
        <f t="shared" si="0"/>
        <v>43008</v>
      </c>
      <c r="C16">
        <v>6.9</v>
      </c>
      <c r="D16" s="1">
        <v>0.241244238956973</v>
      </c>
      <c r="E16" s="1">
        <v>0.31518021401108898</v>
      </c>
    </row>
    <row r="17" spans="1:5" x14ac:dyDescent="0.35">
      <c r="A17">
        <v>20171031</v>
      </c>
      <c r="B17" s="2">
        <f t="shared" si="0"/>
        <v>43039</v>
      </c>
      <c r="C17">
        <v>6.9</v>
      </c>
      <c r="D17" s="1">
        <v>9.1884236133051897E-2</v>
      </c>
      <c r="E17" s="1">
        <v>-0.531885173070616</v>
      </c>
    </row>
    <row r="18" spans="1:5" x14ac:dyDescent="0.35">
      <c r="A18">
        <v>20171130</v>
      </c>
      <c r="B18" s="2">
        <f t="shared" si="0"/>
        <v>43069</v>
      </c>
      <c r="C18">
        <v>5.8</v>
      </c>
      <c r="D18" s="1">
        <v>-0.47523561613669901</v>
      </c>
      <c r="E18" s="1">
        <v>-1.9053290239810201</v>
      </c>
    </row>
    <row r="19" spans="1:5" x14ac:dyDescent="0.35">
      <c r="A19">
        <v>20171231</v>
      </c>
      <c r="B19" s="2">
        <f t="shared" si="0"/>
        <v>43100</v>
      </c>
      <c r="C19">
        <v>4.9000000000000004</v>
      </c>
      <c r="D19" s="1">
        <v>-0.87032053911212603</v>
      </c>
      <c r="E19" s="1">
        <v>-1.2490188079795299</v>
      </c>
    </row>
    <row r="20" spans="1:5" x14ac:dyDescent="0.35">
      <c r="A20">
        <v>20180131</v>
      </c>
      <c r="B20" s="2">
        <f t="shared" si="0"/>
        <v>43131</v>
      </c>
      <c r="C20">
        <v>4.3</v>
      </c>
      <c r="D20" s="1">
        <v>-1.0698109500586299</v>
      </c>
      <c r="E20" s="1">
        <v>-0.62943147992024595</v>
      </c>
    </row>
    <row r="21" spans="1:5" x14ac:dyDescent="0.35">
      <c r="A21">
        <v>20180228</v>
      </c>
      <c r="B21" s="2">
        <f t="shared" si="0"/>
        <v>43159</v>
      </c>
      <c r="C21">
        <v>3.7</v>
      </c>
      <c r="D21" s="1">
        <v>-1.2134891766801099</v>
      </c>
      <c r="E21" s="1">
        <v>-0.51069008145316397</v>
      </c>
    </row>
    <row r="22" spans="1:5" x14ac:dyDescent="0.35">
      <c r="A22">
        <v>20180331</v>
      </c>
      <c r="B22" s="2">
        <f t="shared" si="0"/>
        <v>43190</v>
      </c>
      <c r="C22">
        <v>3.1</v>
      </c>
      <c r="D22" s="1">
        <v>-1.32329667342137</v>
      </c>
      <c r="E22" s="1">
        <v>-0.41088061888748001</v>
      </c>
    </row>
    <row r="23" spans="1:5" x14ac:dyDescent="0.35">
      <c r="A23">
        <v>20180430</v>
      </c>
      <c r="B23" s="2">
        <f t="shared" si="0"/>
        <v>43220</v>
      </c>
      <c r="C23">
        <v>3.4</v>
      </c>
      <c r="D23" s="1">
        <v>-1.0463989836704599</v>
      </c>
      <c r="E23" s="1">
        <v>0.85092634876642603</v>
      </c>
    </row>
    <row r="24" spans="1:5" x14ac:dyDescent="0.35">
      <c r="A24">
        <v>20180531</v>
      </c>
      <c r="B24" s="2">
        <f t="shared" si="0"/>
        <v>43251</v>
      </c>
      <c r="C24">
        <v>4.0999999999999996</v>
      </c>
      <c r="D24" s="1">
        <v>-0.67675242542514102</v>
      </c>
      <c r="E24" s="1">
        <v>1.2421852600063801</v>
      </c>
    </row>
    <row r="25" spans="1:5" x14ac:dyDescent="0.35">
      <c r="A25">
        <v>20180630</v>
      </c>
      <c r="B25" s="2">
        <f t="shared" si="0"/>
        <v>43281</v>
      </c>
      <c r="C25">
        <v>4.7</v>
      </c>
      <c r="D25" s="1">
        <v>-0.41952327281518598</v>
      </c>
      <c r="E25" s="1">
        <v>0.89543397792775403</v>
      </c>
    </row>
    <row r="26" spans="1:5" x14ac:dyDescent="0.35">
      <c r="A26">
        <v>20180731</v>
      </c>
      <c r="B26" s="2">
        <f t="shared" si="0"/>
        <v>43312</v>
      </c>
      <c r="C26">
        <v>4.5999999999999996</v>
      </c>
      <c r="D26" s="1">
        <v>-0.477960148213743</v>
      </c>
      <c r="E26" s="1">
        <v>-0.17044704770033101</v>
      </c>
    </row>
    <row r="27" spans="1:5" x14ac:dyDescent="0.35">
      <c r="A27">
        <v>20180831</v>
      </c>
      <c r="B27" s="2">
        <f t="shared" si="0"/>
        <v>43343</v>
      </c>
      <c r="C27">
        <v>4.0999999999999996</v>
      </c>
      <c r="D27" s="1">
        <v>-0.68770330766530197</v>
      </c>
      <c r="E27" s="1">
        <v>-0.66720542432261998</v>
      </c>
    </row>
    <row r="28" spans="1:5" x14ac:dyDescent="0.35">
      <c r="A28">
        <v>20180930</v>
      </c>
      <c r="B28" s="2">
        <f t="shared" si="0"/>
        <v>43373</v>
      </c>
      <c r="C28">
        <v>3.6</v>
      </c>
      <c r="D28" s="1">
        <v>-0.87379147382150901</v>
      </c>
      <c r="E28" s="1">
        <v>-0.54770614707977805</v>
      </c>
    </row>
    <row r="29" spans="1:5" x14ac:dyDescent="0.35">
      <c r="A29">
        <v>20181031</v>
      </c>
      <c r="B29" s="2">
        <f t="shared" si="0"/>
        <v>43404</v>
      </c>
      <c r="C29">
        <v>3.3</v>
      </c>
      <c r="D29" s="1">
        <v>-0.95323062916480195</v>
      </c>
      <c r="E29" s="1">
        <v>-0.178320958434563</v>
      </c>
    </row>
    <row r="30" spans="1:5" x14ac:dyDescent="0.35">
      <c r="A30">
        <v>20181130</v>
      </c>
      <c r="B30" s="2">
        <f t="shared" si="0"/>
        <v>43434</v>
      </c>
      <c r="C30">
        <v>2.7</v>
      </c>
      <c r="D30" s="1">
        <v>-1.1359272521278601</v>
      </c>
      <c r="E30" s="1">
        <v>-0.54685641439594801</v>
      </c>
    </row>
    <row r="31" spans="1:5" x14ac:dyDescent="0.35">
      <c r="A31">
        <v>20181231</v>
      </c>
      <c r="B31" s="2">
        <f t="shared" si="0"/>
        <v>43465</v>
      </c>
      <c r="C31">
        <v>0.9</v>
      </c>
      <c r="D31" s="1">
        <v>-1.7480323851258299</v>
      </c>
      <c r="E31" s="1">
        <v>-2.08856207387992</v>
      </c>
    </row>
    <row r="32" spans="1:5" x14ac:dyDescent="0.35">
      <c r="A32">
        <v>20190131</v>
      </c>
      <c r="B32" s="2">
        <f t="shared" si="0"/>
        <v>43496</v>
      </c>
      <c r="C32">
        <v>0.1</v>
      </c>
      <c r="D32" s="1">
        <v>-1.82038194312815</v>
      </c>
      <c r="E32" s="1">
        <v>-0.32887065451354502</v>
      </c>
    </row>
    <row r="33" spans="1:5" x14ac:dyDescent="0.35">
      <c r="A33">
        <v>20190228</v>
      </c>
      <c r="B33" s="2">
        <f t="shared" si="0"/>
        <v>43524</v>
      </c>
      <c r="C33">
        <v>0.1</v>
      </c>
      <c r="D33" s="1">
        <v>-1.54690297729145</v>
      </c>
      <c r="E33" s="1">
        <v>0.81393926270282602</v>
      </c>
    </row>
    <row r="34" spans="1:5" x14ac:dyDescent="0.35">
      <c r="A34">
        <v>20190331</v>
      </c>
      <c r="B34" s="2">
        <f t="shared" si="0"/>
        <v>43555</v>
      </c>
      <c r="C34">
        <v>0.4</v>
      </c>
      <c r="D34" s="1">
        <v>-1.2229611200797801</v>
      </c>
      <c r="E34" s="1">
        <v>1.0762478143247201</v>
      </c>
    </row>
    <row r="35" spans="1:5" x14ac:dyDescent="0.35">
      <c r="A35">
        <v>20190430</v>
      </c>
      <c r="B35" s="2">
        <f t="shared" si="0"/>
        <v>43585</v>
      </c>
      <c r="C35">
        <v>0.9</v>
      </c>
      <c r="D35" s="1">
        <v>-0.89287230428277498</v>
      </c>
      <c r="E35" s="1">
        <v>1.1651239186839599</v>
      </c>
    </row>
    <row r="36" spans="1:5" x14ac:dyDescent="0.35">
      <c r="A36">
        <v>20190531</v>
      </c>
      <c r="B36" s="2">
        <f t="shared" si="0"/>
        <v>43616</v>
      </c>
      <c r="C36">
        <v>0.6</v>
      </c>
      <c r="D36" s="1">
        <v>-0.89693371346817796</v>
      </c>
      <c r="E36" s="1">
        <v>-8.3180329833922803E-2</v>
      </c>
    </row>
    <row r="37" spans="1:5" x14ac:dyDescent="0.35">
      <c r="A37">
        <v>20190630</v>
      </c>
      <c r="B37" s="2">
        <f t="shared" si="0"/>
        <v>43646</v>
      </c>
      <c r="C37">
        <v>0</v>
      </c>
      <c r="D37" s="1">
        <v>-0.99133827291616095</v>
      </c>
      <c r="E37" s="1">
        <v>-0.45356933467764698</v>
      </c>
    </row>
    <row r="38" spans="1:5" x14ac:dyDescent="0.35">
      <c r="A38">
        <v>20190731</v>
      </c>
      <c r="B38" s="2">
        <f t="shared" si="0"/>
        <v>43677</v>
      </c>
      <c r="C38">
        <v>-0.3</v>
      </c>
      <c r="D38" s="1">
        <v>-0.95507807491403995</v>
      </c>
      <c r="E38" s="1">
        <v>1.7146521804889799E-2</v>
      </c>
    </row>
    <row r="39" spans="1:5" x14ac:dyDescent="0.35">
      <c r="A39">
        <v>20190831</v>
      </c>
      <c r="B39" s="2">
        <f t="shared" si="0"/>
        <v>43708</v>
      </c>
      <c r="C39">
        <v>-0.8</v>
      </c>
      <c r="D39" s="1">
        <v>-0.98187665940226099</v>
      </c>
      <c r="E39" s="1">
        <v>-0.259051760407358</v>
      </c>
    </row>
    <row r="40" spans="1:5" x14ac:dyDescent="0.35">
      <c r="A40">
        <v>20190930</v>
      </c>
      <c r="B40" s="2">
        <f t="shared" si="0"/>
        <v>43738</v>
      </c>
      <c r="C40">
        <v>-1.2</v>
      </c>
      <c r="D40" s="1">
        <v>-0.95972439978997803</v>
      </c>
      <c r="E40" s="1">
        <v>-9.7080432223333901E-2</v>
      </c>
    </row>
    <row r="41" spans="1:5" x14ac:dyDescent="0.35">
      <c r="A41">
        <v>20191031</v>
      </c>
      <c r="B41" s="2">
        <f t="shared" si="0"/>
        <v>43769</v>
      </c>
      <c r="C41">
        <v>-1.6</v>
      </c>
      <c r="D41" s="1">
        <v>-0.93318962676563699</v>
      </c>
      <c r="E41" s="1">
        <v>-7.92645673249288E-2</v>
      </c>
    </row>
    <row r="42" spans="1:5" x14ac:dyDescent="0.35">
      <c r="A42">
        <v>20191130</v>
      </c>
      <c r="B42" s="2">
        <f t="shared" si="0"/>
        <v>43799</v>
      </c>
      <c r="C42">
        <v>-1.4</v>
      </c>
      <c r="D42" s="1">
        <v>-0.70268104675310505</v>
      </c>
      <c r="E42" s="1">
        <v>0.73281491789352804</v>
      </c>
    </row>
    <row r="43" spans="1:5" x14ac:dyDescent="0.35">
      <c r="A43">
        <v>20191231</v>
      </c>
      <c r="B43" s="2">
        <f t="shared" si="0"/>
        <v>43830</v>
      </c>
      <c r="C43">
        <v>-0.5</v>
      </c>
      <c r="D43" s="1">
        <v>-0.25822389920545902</v>
      </c>
      <c r="E43" s="1">
        <v>1.5259589583733799</v>
      </c>
    </row>
    <row r="44" spans="1:5" x14ac:dyDescent="0.35">
      <c r="A44">
        <v>20200131</v>
      </c>
      <c r="B44" s="2">
        <f t="shared" si="0"/>
        <v>43861</v>
      </c>
      <c r="C44">
        <v>0.1</v>
      </c>
      <c r="D44" s="1">
        <v>5.3313059853930499E-2</v>
      </c>
      <c r="E44" s="1">
        <v>0.84248801493791203</v>
      </c>
    </row>
    <row r="45" spans="1:5" x14ac:dyDescent="0.35">
      <c r="A45">
        <v>20200229</v>
      </c>
      <c r="B45" s="2">
        <f t="shared" si="0"/>
        <v>43890</v>
      </c>
      <c r="C45">
        <v>-0.4</v>
      </c>
      <c r="D45" s="1">
        <v>-8.2592227224136894E-2</v>
      </c>
      <c r="E45" s="1">
        <v>-0.70847599408069695</v>
      </c>
    </row>
    <row r="46" spans="1:5" x14ac:dyDescent="0.35">
      <c r="A46">
        <v>20200331</v>
      </c>
      <c r="B46" s="2">
        <f t="shared" si="0"/>
        <v>43921</v>
      </c>
      <c r="C46">
        <v>-1.5</v>
      </c>
      <c r="D46" s="1">
        <v>-0.52301559744093196</v>
      </c>
      <c r="E46" s="1">
        <v>-1.3475359195810701</v>
      </c>
    </row>
    <row r="47" spans="1:5" x14ac:dyDescent="0.35">
      <c r="A47">
        <v>20200430</v>
      </c>
      <c r="B47" s="2">
        <f t="shared" si="0"/>
        <v>43951</v>
      </c>
      <c r="C47">
        <v>-3.1</v>
      </c>
      <c r="D47" s="1">
        <v>-1.31734473807338</v>
      </c>
      <c r="E47" s="1">
        <v>-1.7177956654668101</v>
      </c>
    </row>
    <row r="48" spans="1:5" x14ac:dyDescent="0.35">
      <c r="A48">
        <v>20200531</v>
      </c>
      <c r="B48" s="2">
        <f t="shared" si="0"/>
        <v>43982</v>
      </c>
      <c r="C48">
        <v>-3.7</v>
      </c>
      <c r="D48" s="1">
        <v>-1.4161207136421501</v>
      </c>
      <c r="E48" s="1">
        <v>-0.115906133714458</v>
      </c>
    </row>
    <row r="49" spans="1:5" x14ac:dyDescent="0.35">
      <c r="A49">
        <v>20200630</v>
      </c>
      <c r="B49" s="2">
        <f t="shared" si="0"/>
        <v>44012</v>
      </c>
      <c r="C49">
        <v>-3</v>
      </c>
      <c r="D49" s="1">
        <v>-0.60340026947606296</v>
      </c>
      <c r="E49" s="1">
        <v>1.57948813813845</v>
      </c>
    </row>
    <row r="50" spans="1:5" x14ac:dyDescent="0.35">
      <c r="A50">
        <v>20200731</v>
      </c>
      <c r="B50" s="2">
        <f t="shared" si="0"/>
        <v>44043</v>
      </c>
      <c r="C50">
        <v>-2.4</v>
      </c>
      <c r="D50" s="1">
        <v>3.9266874312450899E-2</v>
      </c>
      <c r="E50" s="1">
        <v>1.1731935056495399</v>
      </c>
    </row>
    <row r="51" spans="1:5" x14ac:dyDescent="0.35">
      <c r="A51">
        <v>20200831</v>
      </c>
      <c r="B51" s="2">
        <f t="shared" si="0"/>
        <v>44074</v>
      </c>
      <c r="C51">
        <v>-2</v>
      </c>
      <c r="D51" s="1">
        <v>0.47972735038800401</v>
      </c>
      <c r="E51" s="1">
        <v>0.75319832199526104</v>
      </c>
    </row>
    <row r="52" spans="1:5" x14ac:dyDescent="0.35">
      <c r="A52">
        <v>20200930</v>
      </c>
      <c r="B52" s="2">
        <f t="shared" si="0"/>
        <v>44104</v>
      </c>
      <c r="C52">
        <v>-2.1</v>
      </c>
      <c r="D52" s="1">
        <v>0.540171838514105</v>
      </c>
      <c r="E52" s="1">
        <v>3.6569464312424499E-2</v>
      </c>
    </row>
    <row r="53" spans="1:5" x14ac:dyDescent="0.35">
      <c r="A53">
        <v>20201031</v>
      </c>
      <c r="B53" s="2">
        <f t="shared" si="0"/>
        <v>44135</v>
      </c>
      <c r="C53">
        <v>-2.1</v>
      </c>
      <c r="D53" s="1">
        <v>0.73178475782251196</v>
      </c>
      <c r="E53" s="1">
        <v>0.17984819751943701</v>
      </c>
    </row>
    <row r="54" spans="1:5" x14ac:dyDescent="0.35">
      <c r="A54">
        <v>20201130</v>
      </c>
      <c r="B54" s="2">
        <f t="shared" si="0"/>
        <v>44165</v>
      </c>
      <c r="C54">
        <v>-1.5</v>
      </c>
      <c r="D54" s="1">
        <v>1.53514996703025</v>
      </c>
      <c r="E54" s="1">
        <v>0.92514040380551399</v>
      </c>
    </row>
    <row r="55" spans="1:5" x14ac:dyDescent="0.35">
      <c r="A55">
        <v>20201231</v>
      </c>
      <c r="B55" s="2">
        <f t="shared" si="0"/>
        <v>44196</v>
      </c>
      <c r="C55">
        <v>-0.4</v>
      </c>
      <c r="D55" s="1">
        <v>2.6213445442883998</v>
      </c>
      <c r="E55" s="1">
        <v>1.4885734835715501</v>
      </c>
    </row>
    <row r="56" spans="1:5" x14ac:dyDescent="0.35">
      <c r="A56">
        <v>20210131</v>
      </c>
      <c r="B56" s="2">
        <f t="shared" si="0"/>
        <v>44227</v>
      </c>
      <c r="C56">
        <v>0.3</v>
      </c>
      <c r="D56" s="1">
        <v>2.8319887775217198</v>
      </c>
      <c r="E56" s="1">
        <v>0.78762218612225499</v>
      </c>
    </row>
    <row r="57" spans="1:5" x14ac:dyDescent="0.35">
      <c r="A57">
        <v>20210228</v>
      </c>
      <c r="B57" s="2">
        <f t="shared" si="0"/>
        <v>44255</v>
      </c>
      <c r="C57">
        <v>1.7</v>
      </c>
      <c r="D57" s="1">
        <v>3</v>
      </c>
      <c r="E57" s="1">
        <v>1.5892698675256201</v>
      </c>
    </row>
    <row r="58" spans="1:5" x14ac:dyDescent="0.35">
      <c r="A58">
        <v>20210331</v>
      </c>
      <c r="B58" s="2">
        <f t="shared" si="0"/>
        <v>44286</v>
      </c>
      <c r="C58">
        <v>4.4000000000000004</v>
      </c>
      <c r="D58" s="1">
        <v>3</v>
      </c>
      <c r="E58" s="1">
        <v>2.9380132490098001</v>
      </c>
    </row>
    <row r="59" spans="1:5" x14ac:dyDescent="0.35">
      <c r="A59">
        <v>20210430</v>
      </c>
      <c r="B59" s="2">
        <f t="shared" si="0"/>
        <v>44316</v>
      </c>
      <c r="C59">
        <v>6.8</v>
      </c>
      <c r="D59" s="1">
        <v>3</v>
      </c>
      <c r="E59" s="1">
        <v>1.9137421946839599</v>
      </c>
    </row>
    <row r="60" spans="1:5" x14ac:dyDescent="0.35">
      <c r="A60">
        <v>20210531</v>
      </c>
      <c r="B60" s="2">
        <f t="shared" si="0"/>
        <v>44347</v>
      </c>
      <c r="C60">
        <v>9</v>
      </c>
      <c r="D60" s="1">
        <v>3</v>
      </c>
      <c r="E60" s="1">
        <v>1.33266581084359</v>
      </c>
    </row>
    <row r="61" spans="1:5" x14ac:dyDescent="0.35">
      <c r="A61">
        <v>20210630</v>
      </c>
      <c r="B61" s="2">
        <f t="shared" si="0"/>
        <v>44377</v>
      </c>
      <c r="C61">
        <v>8.8000000000000007</v>
      </c>
      <c r="D61" s="1">
        <v>2.6900039024259499</v>
      </c>
      <c r="E61" s="1">
        <v>-1.9332271392990801</v>
      </c>
    </row>
    <row r="62" spans="1:5" x14ac:dyDescent="0.35">
      <c r="A62">
        <v>20210731</v>
      </c>
      <c r="B62" s="2">
        <f t="shared" si="0"/>
        <v>44408</v>
      </c>
      <c r="C62">
        <v>9</v>
      </c>
      <c r="D62" s="1">
        <v>2.1085049508492602</v>
      </c>
      <c r="E62" s="1">
        <v>-1.0914425205268401</v>
      </c>
    </row>
    <row r="63" spans="1:5" x14ac:dyDescent="0.35">
      <c r="A63">
        <v>20210831</v>
      </c>
      <c r="B63" s="2">
        <f t="shared" si="0"/>
        <v>44439</v>
      </c>
      <c r="C63">
        <v>9.5</v>
      </c>
      <c r="D63" s="1">
        <v>1.8099198182954299</v>
      </c>
      <c r="E63" s="1">
        <v>-0.56009890760736103</v>
      </c>
    </row>
    <row r="64" spans="1:5" x14ac:dyDescent="0.35">
      <c r="A64">
        <v>20210930</v>
      </c>
      <c r="B64" s="2">
        <f t="shared" si="0"/>
        <v>44469</v>
      </c>
      <c r="C64">
        <v>10.7</v>
      </c>
      <c r="D64" s="1">
        <v>1.8036412811088101</v>
      </c>
      <c r="E64" s="1">
        <v>0.37143060342582601</v>
      </c>
    </row>
    <row r="65" spans="1:5" x14ac:dyDescent="0.35">
      <c r="A65">
        <v>20211031</v>
      </c>
      <c r="B65" s="2">
        <f t="shared" si="0"/>
        <v>44500</v>
      </c>
      <c r="C65">
        <v>13.5</v>
      </c>
      <c r="D65" s="1">
        <v>2.2650570201814699</v>
      </c>
      <c r="E65" s="1">
        <v>2.2130356947278802</v>
      </c>
    </row>
    <row r="66" spans="1:5" x14ac:dyDescent="0.35">
      <c r="A66">
        <v>20211130</v>
      </c>
      <c r="B66" s="2">
        <f t="shared" si="0"/>
        <v>44530</v>
      </c>
      <c r="C66">
        <v>12.9</v>
      </c>
      <c r="D66" s="1">
        <v>1.54254970462481</v>
      </c>
      <c r="E66" s="1">
        <v>-2.1638827758310701</v>
      </c>
    </row>
    <row r="67" spans="1:5" x14ac:dyDescent="0.35">
      <c r="A67">
        <v>20211231</v>
      </c>
      <c r="B67" s="2">
        <f t="shared" ref="B67:B118" si="1">DATE(LEFT(A67,4),MID(A67,5,2),RIGHT(A67,2))</f>
        <v>44561</v>
      </c>
      <c r="C67">
        <v>10.3</v>
      </c>
      <c r="D67" s="1">
        <v>0.460054227018872</v>
      </c>
      <c r="E67" s="1">
        <v>-3</v>
      </c>
    </row>
    <row r="68" spans="1:5" x14ac:dyDescent="0.35">
      <c r="A68">
        <v>20220131</v>
      </c>
      <c r="B68" s="2">
        <f t="shared" si="1"/>
        <v>44592</v>
      </c>
      <c r="C68">
        <v>9.1</v>
      </c>
      <c r="D68" s="1">
        <v>-2.1700565090993801E-2</v>
      </c>
      <c r="E68" s="1">
        <v>-1.58910208034605</v>
      </c>
    </row>
    <row r="69" spans="1:5" x14ac:dyDescent="0.35">
      <c r="A69">
        <v>20220228</v>
      </c>
      <c r="B69" s="2">
        <f t="shared" si="1"/>
        <v>44620</v>
      </c>
      <c r="C69">
        <v>8.8000000000000007</v>
      </c>
      <c r="D69" s="1">
        <v>-0.178925580044898</v>
      </c>
      <c r="E69" s="1">
        <v>-0.44008440574174901</v>
      </c>
    </row>
    <row r="70" spans="1:5" x14ac:dyDescent="0.35">
      <c r="A70">
        <v>20220331</v>
      </c>
      <c r="B70" s="2">
        <f t="shared" si="1"/>
        <v>44651</v>
      </c>
      <c r="C70">
        <v>8.3000000000000007</v>
      </c>
      <c r="D70" s="1">
        <v>-0.373996391970842</v>
      </c>
      <c r="E70" s="1">
        <v>-0.57026703819820901</v>
      </c>
    </row>
    <row r="71" spans="1:5" x14ac:dyDescent="0.35">
      <c r="A71">
        <v>20220430</v>
      </c>
      <c r="B71" s="2">
        <f t="shared" si="1"/>
        <v>44681</v>
      </c>
      <c r="C71">
        <v>8</v>
      </c>
      <c r="D71" s="1">
        <v>-0.47559670180483499</v>
      </c>
      <c r="E71" s="1">
        <v>-0.29226492505462098</v>
      </c>
    </row>
    <row r="72" spans="1:5" x14ac:dyDescent="0.35">
      <c r="A72">
        <v>20220531</v>
      </c>
      <c r="B72" s="2">
        <f t="shared" si="1"/>
        <v>44712</v>
      </c>
      <c r="C72">
        <v>6.4</v>
      </c>
      <c r="D72" s="1">
        <v>-0.94503263099818402</v>
      </c>
      <c r="E72" s="1">
        <v>-1.4828198965863499</v>
      </c>
    </row>
    <row r="73" spans="1:5" x14ac:dyDescent="0.35">
      <c r="A73">
        <v>20220630</v>
      </c>
      <c r="B73" s="2">
        <f t="shared" si="1"/>
        <v>44742</v>
      </c>
      <c r="C73">
        <v>6.1</v>
      </c>
      <c r="D73" s="1">
        <v>-0.93426908455971103</v>
      </c>
      <c r="E73" s="1">
        <v>3.77113585321531E-2</v>
      </c>
    </row>
    <row r="74" spans="1:5" x14ac:dyDescent="0.35">
      <c r="A74">
        <v>20220731</v>
      </c>
      <c r="B74" s="2">
        <f t="shared" si="1"/>
        <v>44773</v>
      </c>
      <c r="C74">
        <v>4.2</v>
      </c>
      <c r="D74" s="1">
        <v>-1.4082747021611901</v>
      </c>
      <c r="E74" s="1">
        <v>-1.4694990175557601</v>
      </c>
    </row>
    <row r="75" spans="1:5" x14ac:dyDescent="0.35">
      <c r="A75">
        <v>20220831</v>
      </c>
      <c r="B75" s="2">
        <f t="shared" si="1"/>
        <v>44804</v>
      </c>
      <c r="C75">
        <v>2.2999999999999998</v>
      </c>
      <c r="D75" s="1">
        <v>-1.76709991558202</v>
      </c>
      <c r="E75" s="1">
        <v>-1.1815737830630699</v>
      </c>
    </row>
    <row r="76" spans="1:5" x14ac:dyDescent="0.35">
      <c r="A76">
        <v>20220930</v>
      </c>
      <c r="B76" s="2">
        <f t="shared" si="1"/>
        <v>44834</v>
      </c>
      <c r="C76">
        <v>0.9</v>
      </c>
      <c r="D76" s="1">
        <v>-1.8725138501534899</v>
      </c>
      <c r="E76" s="1">
        <v>-0.50179996341667499</v>
      </c>
    </row>
    <row r="77" spans="1:5" x14ac:dyDescent="0.35">
      <c r="A77">
        <v>20221031</v>
      </c>
      <c r="B77" s="2">
        <f t="shared" si="1"/>
        <v>44865</v>
      </c>
      <c r="C77">
        <v>-1.3</v>
      </c>
      <c r="D77" s="1">
        <v>-2.14696816095057</v>
      </c>
      <c r="E77" s="1">
        <v>-1.13941797947759</v>
      </c>
    </row>
    <row r="78" spans="1:5" x14ac:dyDescent="0.35">
      <c r="A78">
        <v>20221130</v>
      </c>
      <c r="B78" s="2">
        <f t="shared" si="1"/>
        <v>44895</v>
      </c>
      <c r="C78">
        <v>-1.3</v>
      </c>
      <c r="D78" s="1">
        <v>-1.72663721533499</v>
      </c>
      <c r="E78" s="1">
        <v>1.0725350070425801</v>
      </c>
    </row>
    <row r="79" spans="1:5" x14ac:dyDescent="0.35">
      <c r="A79">
        <v>20221231</v>
      </c>
      <c r="B79" s="2">
        <f t="shared" si="1"/>
        <v>44926</v>
      </c>
      <c r="C79">
        <v>-0.7</v>
      </c>
      <c r="D79" s="1">
        <v>-1.2602260265910701</v>
      </c>
      <c r="E79" s="1">
        <v>1.4230323597671599</v>
      </c>
    </row>
    <row r="80" spans="1:5" x14ac:dyDescent="0.35">
      <c r="A80">
        <v>20230131</v>
      </c>
      <c r="B80" s="2">
        <f t="shared" si="1"/>
        <v>44957</v>
      </c>
      <c r="C80">
        <v>-0.8</v>
      </c>
      <c r="D80" s="1">
        <v>-1.0678046265716701</v>
      </c>
      <c r="E80" s="1">
        <v>0.53306505253013003</v>
      </c>
    </row>
    <row r="81" spans="1:5" x14ac:dyDescent="0.35">
      <c r="A81">
        <v>20230228</v>
      </c>
      <c r="B81" s="2">
        <f t="shared" si="1"/>
        <v>44985</v>
      </c>
      <c r="C81">
        <v>-1.4</v>
      </c>
      <c r="D81" s="1">
        <v>-1.0291582451641601</v>
      </c>
      <c r="E81" s="1">
        <v>-8.5090262026932192E-3</v>
      </c>
    </row>
    <row r="82" spans="1:5" x14ac:dyDescent="0.35">
      <c r="A82">
        <v>20230331</v>
      </c>
      <c r="B82" s="2">
        <f t="shared" si="1"/>
        <v>45016</v>
      </c>
      <c r="C82">
        <v>-2.5</v>
      </c>
      <c r="D82" s="1">
        <v>-1.11521903362701</v>
      </c>
      <c r="E82" s="1">
        <v>-0.44274463326863001</v>
      </c>
    </row>
    <row r="83" spans="1:5" x14ac:dyDescent="0.35">
      <c r="A83">
        <v>20230430</v>
      </c>
      <c r="B83" s="2">
        <f t="shared" si="1"/>
        <v>45046</v>
      </c>
      <c r="C83">
        <v>-3.6</v>
      </c>
      <c r="D83" s="1">
        <v>-1.1825339981213301</v>
      </c>
      <c r="E83" s="1">
        <v>-0.34963424594373099</v>
      </c>
    </row>
    <row r="84" spans="1:5" x14ac:dyDescent="0.35">
      <c r="A84">
        <v>20230531</v>
      </c>
      <c r="B84" s="2">
        <f t="shared" si="1"/>
        <v>45077</v>
      </c>
      <c r="C84">
        <v>-4.5999999999999996</v>
      </c>
      <c r="D84" s="1">
        <v>-1.2179512963769401</v>
      </c>
      <c r="E84" s="1">
        <v>-0.17732626246574401</v>
      </c>
    </row>
    <row r="85" spans="1:5" x14ac:dyDescent="0.35">
      <c r="A85">
        <v>20230630</v>
      </c>
      <c r="B85" s="2">
        <f t="shared" si="1"/>
        <v>45107</v>
      </c>
      <c r="C85">
        <v>-5.4</v>
      </c>
      <c r="D85" s="1">
        <v>-1.1952073446579601</v>
      </c>
      <c r="E85" s="1">
        <v>4.3281437609484601E-2</v>
      </c>
    </row>
    <row r="86" spans="1:5" x14ac:dyDescent="0.35">
      <c r="A86">
        <v>20230731</v>
      </c>
      <c r="B86" s="2">
        <f t="shared" si="1"/>
        <v>45138</v>
      </c>
      <c r="C86">
        <v>-4.4000000000000004</v>
      </c>
      <c r="D86" s="1">
        <v>-0.753233447922532</v>
      </c>
      <c r="E86" s="1">
        <v>1.6630741486731999</v>
      </c>
    </row>
    <row r="87" spans="1:5" x14ac:dyDescent="0.35">
      <c r="A87">
        <v>20230831</v>
      </c>
      <c r="B87" s="2">
        <f t="shared" si="1"/>
        <v>45169</v>
      </c>
      <c r="C87">
        <v>-3</v>
      </c>
      <c r="D87" s="1">
        <v>-0.306228046012545</v>
      </c>
      <c r="E87" s="1">
        <v>1.69521678214964</v>
      </c>
    </row>
    <row r="88" spans="1:5" x14ac:dyDescent="0.35">
      <c r="A88">
        <v>20230930</v>
      </c>
      <c r="B88" s="2">
        <f t="shared" si="1"/>
        <v>45199</v>
      </c>
      <c r="C88">
        <v>-2.5</v>
      </c>
      <c r="D88" s="1">
        <v>-0.140547158592565</v>
      </c>
      <c r="E88" s="1">
        <v>0.59354908729386902</v>
      </c>
    </row>
    <row r="89" spans="1:5" x14ac:dyDescent="0.35">
      <c r="A89">
        <v>20231031</v>
      </c>
      <c r="B89" s="2">
        <f t="shared" si="1"/>
        <v>45230</v>
      </c>
      <c r="C89">
        <v>-2.6</v>
      </c>
      <c r="D89" s="1">
        <v>-0.13881714144695301</v>
      </c>
      <c r="E89" s="1">
        <v>-2.4732441893822101E-2</v>
      </c>
    </row>
    <row r="90" spans="1:5" x14ac:dyDescent="0.35">
      <c r="A90">
        <v>20231130</v>
      </c>
      <c r="B90" s="2">
        <f t="shared" si="1"/>
        <v>45260</v>
      </c>
      <c r="C90">
        <v>-3</v>
      </c>
      <c r="D90" s="1">
        <v>-0.20391698447419099</v>
      </c>
      <c r="E90" s="1">
        <v>-0.28089103485969702</v>
      </c>
    </row>
    <row r="91" spans="1:5" x14ac:dyDescent="0.35">
      <c r="A91">
        <v>20231231</v>
      </c>
      <c r="B91" s="2">
        <f t="shared" si="1"/>
        <v>45291</v>
      </c>
      <c r="C91">
        <v>-2.7</v>
      </c>
      <c r="D91" s="1">
        <v>-9.5973929406148101E-2</v>
      </c>
      <c r="E91" s="1">
        <v>0.367580275382906</v>
      </c>
    </row>
    <row r="92" spans="1:5" x14ac:dyDescent="0.35">
      <c r="A92">
        <v>20240131</v>
      </c>
      <c r="B92" s="2">
        <f t="shared" si="1"/>
        <v>45322</v>
      </c>
      <c r="C92">
        <v>-2.5</v>
      </c>
      <c r="D92" s="1">
        <v>-2.2163209470430101E-2</v>
      </c>
      <c r="E92" s="1">
        <v>0.238728068426518</v>
      </c>
    </row>
    <row r="93" spans="1:5" x14ac:dyDescent="0.35">
      <c r="A93">
        <v>20240229</v>
      </c>
      <c r="B93" s="2">
        <f t="shared" si="1"/>
        <v>45351</v>
      </c>
      <c r="C93">
        <v>-2.7</v>
      </c>
      <c r="D93" s="1">
        <v>-4.6287450923389498E-2</v>
      </c>
      <c r="E93" s="1">
        <v>-0.13417880055481601</v>
      </c>
    </row>
    <row r="94" spans="1:5" x14ac:dyDescent="0.35">
      <c r="A94">
        <v>20240331</v>
      </c>
      <c r="B94" s="2">
        <f t="shared" si="1"/>
        <v>45382</v>
      </c>
      <c r="C94">
        <v>-2.8</v>
      </c>
      <c r="D94" s="1">
        <v>-3.44242655159442E-2</v>
      </c>
      <c r="E94" s="1">
        <v>-3.2986497948167902E-2</v>
      </c>
    </row>
    <row r="95" spans="1:5" x14ac:dyDescent="0.35">
      <c r="A95">
        <v>20240430</v>
      </c>
      <c r="B95" s="2">
        <f t="shared" si="1"/>
        <v>45412</v>
      </c>
      <c r="C95">
        <v>-2.5</v>
      </c>
      <c r="D95" s="1">
        <v>8.6102379803520604E-2</v>
      </c>
      <c r="E95" s="1">
        <v>0.30142783592758199</v>
      </c>
    </row>
    <row r="96" spans="1:5" x14ac:dyDescent="0.35">
      <c r="A96">
        <v>20240531</v>
      </c>
      <c r="B96" s="2">
        <f t="shared" si="1"/>
        <v>45443</v>
      </c>
      <c r="C96">
        <v>-1.4</v>
      </c>
      <c r="D96" s="1">
        <v>0.40478657324714501</v>
      </c>
      <c r="E96" s="1">
        <v>0.93051509487075501</v>
      </c>
    </row>
    <row r="97" spans="1:5" x14ac:dyDescent="0.35">
      <c r="A97">
        <v>20240630</v>
      </c>
      <c r="B97" s="2">
        <f t="shared" si="1"/>
        <v>45473</v>
      </c>
      <c r="C97">
        <v>-0.8</v>
      </c>
      <c r="D97" s="1">
        <v>0.59475425733514697</v>
      </c>
      <c r="E97" s="1">
        <v>0.31196011952230501</v>
      </c>
    </row>
    <row r="98" spans="1:5" x14ac:dyDescent="0.35">
      <c r="A98">
        <v>20240731</v>
      </c>
      <c r="B98" s="2">
        <f t="shared" si="1"/>
        <v>45504</v>
      </c>
      <c r="C98">
        <v>-0.8</v>
      </c>
      <c r="D98" s="1">
        <v>0.60110374156631996</v>
      </c>
      <c r="E98" s="1">
        <v>-0.26176255008243399</v>
      </c>
    </row>
    <row r="99" spans="1:5" x14ac:dyDescent="0.35">
      <c r="A99">
        <v>20240831</v>
      </c>
      <c r="B99" s="2">
        <f t="shared" si="1"/>
        <v>45535</v>
      </c>
      <c r="C99">
        <v>-1.8</v>
      </c>
      <c r="D99" s="1">
        <v>0.32536164040669202</v>
      </c>
      <c r="E99" s="1">
        <v>-1.09887384313503</v>
      </c>
    </row>
    <row r="100" spans="1:5" x14ac:dyDescent="0.35">
      <c r="A100">
        <v>20240930</v>
      </c>
      <c r="B100" s="2">
        <f t="shared" si="1"/>
        <v>45565</v>
      </c>
      <c r="C100">
        <v>-2.8</v>
      </c>
      <c r="D100" s="1">
        <v>8.48594870014754E-2</v>
      </c>
      <c r="E100" s="1">
        <v>-0.89480224804772901</v>
      </c>
    </row>
    <row r="101" spans="1:5" x14ac:dyDescent="0.35">
      <c r="A101">
        <v>20241031</v>
      </c>
      <c r="B101" s="2">
        <f t="shared" si="1"/>
        <v>45596</v>
      </c>
      <c r="C101">
        <v>-2.9</v>
      </c>
      <c r="D101" s="1">
        <v>0.16437629546673599</v>
      </c>
      <c r="E101" s="1">
        <v>4.94941944907131E-2</v>
      </c>
    </row>
    <row r="102" spans="1:5" x14ac:dyDescent="0.35">
      <c r="A102">
        <v>20241130</v>
      </c>
      <c r="B102" s="2">
        <f t="shared" si="1"/>
        <v>45626</v>
      </c>
      <c r="C102">
        <v>-2.5</v>
      </c>
      <c r="D102" s="1">
        <v>0.47309032743061302</v>
      </c>
      <c r="E102" s="1">
        <v>0.479296541065304</v>
      </c>
    </row>
    <row r="103" spans="1:5" x14ac:dyDescent="0.35">
      <c r="A103">
        <v>20241231</v>
      </c>
      <c r="B103" s="2">
        <f t="shared" si="1"/>
        <v>45657</v>
      </c>
      <c r="C103">
        <v>-2.2999999999999998</v>
      </c>
      <c r="D103" s="1">
        <v>0.71097607193971901</v>
      </c>
      <c r="E103" s="1">
        <v>0.23521675472558401</v>
      </c>
    </row>
    <row r="104" spans="1:5" x14ac:dyDescent="0.35">
      <c r="A104">
        <v>20250131</v>
      </c>
      <c r="B104" s="2">
        <f t="shared" si="1"/>
        <v>45688</v>
      </c>
      <c r="C104">
        <v>-2.2999999999999998</v>
      </c>
      <c r="D104" s="1">
        <v>0.77462336580340097</v>
      </c>
      <c r="E104" s="1">
        <v>4.13065983477039E-2</v>
      </c>
    </row>
    <row r="105" spans="1:5" x14ac:dyDescent="0.35">
      <c r="A105">
        <v>20250228</v>
      </c>
      <c r="B105" s="2">
        <f t="shared" si="1"/>
        <v>45716</v>
      </c>
      <c r="C105">
        <v>-2.2000000000000002</v>
      </c>
      <c r="D105" s="1">
        <v>0.84312208118146004</v>
      </c>
      <c r="E105" s="1">
        <v>0.13608568994880901</v>
      </c>
    </row>
    <row r="106" spans="1:5" x14ac:dyDescent="0.35">
      <c r="A106">
        <v>20250331</v>
      </c>
      <c r="B106" s="2">
        <f t="shared" si="1"/>
        <v>45747</v>
      </c>
      <c r="C106">
        <v>-2.5</v>
      </c>
      <c r="D106" s="1">
        <v>0.71873725429526003</v>
      </c>
      <c r="E106" s="1">
        <v>-0.216136996386703</v>
      </c>
    </row>
    <row r="107" spans="1:5" x14ac:dyDescent="0.35">
      <c r="A107">
        <v>20250430</v>
      </c>
      <c r="B107" s="2">
        <f t="shared" si="1"/>
        <v>45777</v>
      </c>
      <c r="C107">
        <v>-2.7</v>
      </c>
      <c r="D107" s="1">
        <v>0.65228612459607704</v>
      </c>
      <c r="E107" s="1">
        <v>-3.9822760346133697E-2</v>
      </c>
    </row>
    <row r="108" spans="1:5" x14ac:dyDescent="0.35">
      <c r="A108">
        <v>20250531</v>
      </c>
      <c r="B108" s="2">
        <f t="shared" si="1"/>
        <v>45808</v>
      </c>
      <c r="C108">
        <v>-3.3</v>
      </c>
      <c r="D108" s="1">
        <v>0.41998894996126401</v>
      </c>
      <c r="E108" s="1">
        <v>-0.36764905242177698</v>
      </c>
    </row>
    <row r="109" spans="1:5" x14ac:dyDescent="0.35">
      <c r="A109">
        <v>20250630</v>
      </c>
      <c r="B109" s="2">
        <f t="shared" si="1"/>
        <v>45838</v>
      </c>
      <c r="C109">
        <v>-3.6</v>
      </c>
      <c r="D109" s="1">
        <v>0.34123617968405701</v>
      </c>
      <c r="E109" s="1">
        <v>3.44713151084904E-2</v>
      </c>
    </row>
    <row r="110" spans="1:5" x14ac:dyDescent="0.35">
      <c r="A110">
        <v>20250731</v>
      </c>
      <c r="B110" s="2">
        <f t="shared" si="1"/>
        <v>45869</v>
      </c>
      <c r="C110">
        <v>-3.6</v>
      </c>
      <c r="D110" s="1">
        <v>0.40516698262371598</v>
      </c>
      <c r="E110" s="1">
        <v>0.33006561218729702</v>
      </c>
    </row>
    <row r="111" spans="1:5" x14ac:dyDescent="0.35">
      <c r="A111">
        <v>20250831</v>
      </c>
      <c r="B111" s="2">
        <f t="shared" si="1"/>
        <v>45900</v>
      </c>
      <c r="C111">
        <v>-2.9</v>
      </c>
      <c r="D111" s="1">
        <v>0.74487084815634397</v>
      </c>
      <c r="E111" s="1">
        <v>0.98296216246133605</v>
      </c>
    </row>
    <row r="112" spans="1:5" x14ac:dyDescent="0.35">
      <c r="A112">
        <v>20250930</v>
      </c>
      <c r="B112" s="2">
        <f t="shared" si="1"/>
        <v>45930</v>
      </c>
      <c r="C112">
        <v>-2.2999999999999998</v>
      </c>
      <c r="D112" s="1">
        <v>0.97504692502691204</v>
      </c>
      <c r="E112" s="1">
        <v>0.72109270342777199</v>
      </c>
    </row>
    <row r="113" spans="1:5" x14ac:dyDescent="0.35">
      <c r="A113">
        <v>20251031</v>
      </c>
      <c r="B113" s="2">
        <f t="shared" si="1"/>
        <v>45961</v>
      </c>
      <c r="C113">
        <v>-2.1</v>
      </c>
      <c r="D113" s="1">
        <v>0.98605739850072105</v>
      </c>
      <c r="E113" s="1">
        <v>0.22633186028249599</v>
      </c>
    </row>
    <row r="114" spans="1:5" x14ac:dyDescent="0.35">
      <c r="A114">
        <v>20251130</v>
      </c>
      <c r="B114" s="2">
        <f t="shared" si="1"/>
        <v>45991</v>
      </c>
      <c r="C114">
        <v>-2.2000000000000002</v>
      </c>
      <c r="D114" s="1">
        <v>0.87062469764411499</v>
      </c>
      <c r="E114" s="1">
        <v>-5.3146365773778598E-2</v>
      </c>
    </row>
    <row r="115" spans="1:5" x14ac:dyDescent="0.35">
      <c r="A115">
        <v>20251231</v>
      </c>
      <c r="B115" s="2">
        <f t="shared" si="1"/>
        <v>46022</v>
      </c>
      <c r="C115">
        <v>-1.9</v>
      </c>
      <c r="D115" s="1">
        <v>0.96777343476266497</v>
      </c>
      <c r="E115" s="1">
        <v>0.36802489403489003</v>
      </c>
    </row>
    <row r="116" spans="1:5" x14ac:dyDescent="0.35">
      <c r="A116">
        <v>20260131</v>
      </c>
      <c r="B116" s="2">
        <f t="shared" si="1"/>
        <v>46053</v>
      </c>
      <c r="C116">
        <v>-1.4</v>
      </c>
      <c r="D116" s="1">
        <v>1.1451757884309499</v>
      </c>
      <c r="E116" s="1">
        <v>0.54227485257726804</v>
      </c>
    </row>
    <row r="117" spans="1:5" x14ac:dyDescent="0.35">
      <c r="A117">
        <v>20260228</v>
      </c>
      <c r="B117" s="2">
        <f t="shared" si="1"/>
        <v>46081</v>
      </c>
      <c r="C117">
        <v>-0.9</v>
      </c>
      <c r="D117" s="1">
        <v>1.2822855182878501</v>
      </c>
      <c r="E117" s="1">
        <v>0.43081264380524897</v>
      </c>
    </row>
    <row r="118" spans="1:5" x14ac:dyDescent="0.35">
      <c r="A118">
        <v>20260331</v>
      </c>
      <c r="B118" s="2">
        <f t="shared" si="1"/>
        <v>46112</v>
      </c>
      <c r="C118">
        <v>0.5</v>
      </c>
      <c r="D118" s="1">
        <v>1.9138549174217001</v>
      </c>
      <c r="E118" s="1">
        <v>1.5187498093494201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7B54-045D-46BA-BB0A-DF9522CFBFF3}">
  <dimension ref="A1:E118"/>
  <sheetViews>
    <sheetView tabSelected="1" workbookViewId="0">
      <selection activeCell="B2" sqref="B2"/>
    </sheetView>
  </sheetViews>
  <sheetFormatPr defaultRowHeight="14.15" x14ac:dyDescent="0.35"/>
  <cols>
    <col min="1" max="1" width="11.28515625" bestFit="1" customWidth="1"/>
    <col min="2" max="2" width="11.28515625" customWidth="1"/>
    <col min="4" max="4" width="16.5" style="1" bestFit="1" customWidth="1"/>
    <col min="5" max="5" width="18.85546875" style="1" bestFit="1" customWidth="1"/>
  </cols>
  <sheetData>
    <row r="1" spans="1:5" x14ac:dyDescent="0.35">
      <c r="A1" t="s">
        <v>0</v>
      </c>
      <c r="C1" t="s">
        <v>3</v>
      </c>
      <c r="D1" s="1" t="s">
        <v>1</v>
      </c>
      <c r="E1" s="1" t="s">
        <v>2</v>
      </c>
    </row>
    <row r="2" spans="1:5" x14ac:dyDescent="0.35">
      <c r="A2">
        <v>20160731</v>
      </c>
      <c r="B2" s="2">
        <f>DATE(LEFT(A2,4),MID(A2,5,2),RIGHT(A2,2))</f>
        <v>42582</v>
      </c>
      <c r="C2" s="1">
        <v>1.7651129999999999</v>
      </c>
      <c r="D2" s="1">
        <v>-0.24853428142564099</v>
      </c>
    </row>
    <row r="3" spans="1:5" x14ac:dyDescent="0.35">
      <c r="A3">
        <v>20160831</v>
      </c>
      <c r="B3" s="2">
        <f t="shared" ref="B3:B66" si="0">DATE(LEFT(A3,4),MID(A3,5,2),RIGHT(A3,2))</f>
        <v>42613</v>
      </c>
      <c r="C3" s="1">
        <v>1.3397730000000001</v>
      </c>
      <c r="D3" s="1">
        <v>-1.63343324632871</v>
      </c>
      <c r="E3" s="1">
        <v>-1.27654868551435</v>
      </c>
    </row>
    <row r="4" spans="1:5" x14ac:dyDescent="0.35">
      <c r="A4">
        <v>20160930</v>
      </c>
      <c r="B4" s="2">
        <f t="shared" si="0"/>
        <v>42643</v>
      </c>
      <c r="C4" s="1">
        <v>1.920226</v>
      </c>
      <c r="D4" s="1">
        <v>0.62932765699665405</v>
      </c>
      <c r="E4" s="1">
        <v>1.90783370416548</v>
      </c>
    </row>
    <row r="5" spans="1:5" x14ac:dyDescent="0.35">
      <c r="A5">
        <v>20161031</v>
      </c>
      <c r="B5" s="2">
        <f t="shared" si="0"/>
        <v>42674</v>
      </c>
      <c r="C5" s="1">
        <v>2.0959469999999998</v>
      </c>
      <c r="D5" s="1">
        <v>1.10252517703303</v>
      </c>
      <c r="E5" s="1">
        <v>0.326619917646507</v>
      </c>
    </row>
    <row r="6" spans="1:5" x14ac:dyDescent="0.35">
      <c r="A6">
        <v>20161130</v>
      </c>
      <c r="B6" s="2">
        <f t="shared" si="0"/>
        <v>42704</v>
      </c>
      <c r="C6" s="1">
        <v>2.2522579999999999</v>
      </c>
      <c r="D6" s="1">
        <v>1.40093365336456</v>
      </c>
      <c r="E6" s="1">
        <v>0.19967473003407099</v>
      </c>
    </row>
    <row r="7" spans="1:5" x14ac:dyDescent="0.35">
      <c r="A7">
        <v>20161231</v>
      </c>
      <c r="B7" s="2">
        <f t="shared" si="0"/>
        <v>42735</v>
      </c>
      <c r="C7" s="1">
        <v>2.0765449999999999</v>
      </c>
      <c r="D7" s="1">
        <v>0.54027115276139004</v>
      </c>
      <c r="E7" s="1">
        <v>-0.80066902573528898</v>
      </c>
    </row>
    <row r="8" spans="1:5" x14ac:dyDescent="0.35">
      <c r="A8">
        <v>20170131</v>
      </c>
      <c r="B8" s="2">
        <f t="shared" si="0"/>
        <v>42766</v>
      </c>
      <c r="C8" s="1">
        <v>2.5490550000000001</v>
      </c>
      <c r="D8" s="1">
        <v>1.9759960721899601</v>
      </c>
      <c r="E8" s="1">
        <v>1.2024102106925001</v>
      </c>
    </row>
    <row r="9" spans="1:5" x14ac:dyDescent="0.35">
      <c r="A9">
        <v>20170228</v>
      </c>
      <c r="B9" s="2">
        <f t="shared" si="0"/>
        <v>42794</v>
      </c>
      <c r="C9" s="1">
        <v>0.8</v>
      </c>
      <c r="D9" s="1">
        <v>-3</v>
      </c>
      <c r="E9" s="1">
        <v>-3</v>
      </c>
    </row>
    <row r="10" spans="1:5" x14ac:dyDescent="0.35">
      <c r="A10">
        <v>20170331</v>
      </c>
      <c r="B10" s="2">
        <f t="shared" si="0"/>
        <v>42825</v>
      </c>
      <c r="C10" s="1">
        <v>0.9</v>
      </c>
      <c r="D10" s="1">
        <v>-2.3064265168897098</v>
      </c>
      <c r="E10" s="1">
        <v>0.62434885828271502</v>
      </c>
    </row>
    <row r="11" spans="1:5" x14ac:dyDescent="0.35">
      <c r="A11">
        <v>20170430</v>
      </c>
      <c r="B11" s="2">
        <f t="shared" si="0"/>
        <v>42855</v>
      </c>
      <c r="C11" s="1">
        <v>1.2</v>
      </c>
      <c r="D11" s="1">
        <v>-1.04029732269041</v>
      </c>
      <c r="E11" s="1">
        <v>0.91727225260168299</v>
      </c>
    </row>
    <row r="12" spans="1:5" x14ac:dyDescent="0.35">
      <c r="A12">
        <v>20170531</v>
      </c>
      <c r="B12" s="2">
        <f t="shared" si="0"/>
        <v>42886</v>
      </c>
      <c r="C12" s="1">
        <v>1.5</v>
      </c>
      <c r="D12" s="1">
        <v>-0.13730526136124599</v>
      </c>
      <c r="E12" s="1">
        <v>0.75067390538853496</v>
      </c>
    </row>
    <row r="13" spans="1:5" x14ac:dyDescent="0.35">
      <c r="A13">
        <v>20170630</v>
      </c>
      <c r="B13" s="2">
        <f t="shared" si="0"/>
        <v>42916</v>
      </c>
      <c r="C13" s="1">
        <v>1.5</v>
      </c>
      <c r="D13" s="1">
        <v>-9.4294798246506495E-2</v>
      </c>
      <c r="E13" s="1">
        <v>1.1198467227215601E-2</v>
      </c>
    </row>
    <row r="14" spans="1:5" x14ac:dyDescent="0.35">
      <c r="A14">
        <v>20170731</v>
      </c>
      <c r="B14" s="2">
        <f t="shared" si="0"/>
        <v>42947</v>
      </c>
      <c r="C14" s="1">
        <v>1.4</v>
      </c>
      <c r="D14" s="1">
        <v>-0.29668177580011701</v>
      </c>
      <c r="E14" s="1">
        <v>-0.19910119484004599</v>
      </c>
    </row>
    <row r="15" spans="1:5" x14ac:dyDescent="0.35">
      <c r="A15">
        <v>20170831</v>
      </c>
      <c r="B15" s="2">
        <f t="shared" si="0"/>
        <v>42978</v>
      </c>
      <c r="C15" s="1">
        <v>1.8</v>
      </c>
      <c r="D15" s="1">
        <v>0.74651056990975195</v>
      </c>
      <c r="E15" s="1">
        <v>0.87229121643007401</v>
      </c>
    </row>
    <row r="16" spans="1:5" x14ac:dyDescent="0.35">
      <c r="A16">
        <v>20170930</v>
      </c>
      <c r="B16" s="2">
        <f t="shared" si="0"/>
        <v>43008</v>
      </c>
      <c r="C16" s="1">
        <v>1.6</v>
      </c>
      <c r="D16" s="1">
        <v>0.14664642717245299</v>
      </c>
      <c r="E16" s="1">
        <v>-0.54406447491458099</v>
      </c>
    </row>
    <row r="17" spans="1:5" x14ac:dyDescent="0.35">
      <c r="A17">
        <v>20171031</v>
      </c>
      <c r="B17" s="2">
        <f t="shared" si="0"/>
        <v>43039</v>
      </c>
      <c r="C17" s="1">
        <v>1.9</v>
      </c>
      <c r="D17" s="1">
        <v>0.88588916791665995</v>
      </c>
      <c r="E17" s="1">
        <v>0.60176073017171094</v>
      </c>
    </row>
    <row r="18" spans="1:5" x14ac:dyDescent="0.35">
      <c r="A18">
        <v>20171130</v>
      </c>
      <c r="B18" s="2">
        <f t="shared" si="0"/>
        <v>43069</v>
      </c>
      <c r="C18" s="1">
        <v>1.7</v>
      </c>
      <c r="D18" s="1">
        <v>0.246512778019323</v>
      </c>
      <c r="E18" s="1">
        <v>-0.57705404009962702</v>
      </c>
    </row>
    <row r="19" spans="1:5" x14ac:dyDescent="0.35">
      <c r="A19">
        <v>20171231</v>
      </c>
      <c r="B19" s="2">
        <f t="shared" si="0"/>
        <v>43100</v>
      </c>
      <c r="C19" s="1">
        <v>1.8</v>
      </c>
      <c r="D19" s="1">
        <v>0.47210861426462902</v>
      </c>
      <c r="E19" s="1">
        <v>0.163978815931657</v>
      </c>
    </row>
    <row r="20" spans="1:5" x14ac:dyDescent="0.35">
      <c r="A20">
        <v>20180131</v>
      </c>
      <c r="B20" s="2">
        <f t="shared" si="0"/>
        <v>43131</v>
      </c>
      <c r="C20" s="1">
        <v>1.5</v>
      </c>
      <c r="D20" s="1">
        <v>-0.36206965574368999</v>
      </c>
      <c r="E20" s="1">
        <v>-0.74523036560998901</v>
      </c>
    </row>
    <row r="21" spans="1:5" x14ac:dyDescent="0.35">
      <c r="A21">
        <v>20180228</v>
      </c>
      <c r="B21" s="2">
        <f t="shared" si="0"/>
        <v>43159</v>
      </c>
      <c r="C21" s="1">
        <v>2.9</v>
      </c>
      <c r="D21" s="1">
        <v>3</v>
      </c>
      <c r="E21" s="1">
        <v>3</v>
      </c>
    </row>
    <row r="22" spans="1:5" x14ac:dyDescent="0.35">
      <c r="A22">
        <v>20180331</v>
      </c>
      <c r="B22" s="2">
        <f t="shared" si="0"/>
        <v>43190</v>
      </c>
      <c r="C22" s="1">
        <v>2.1</v>
      </c>
      <c r="D22" s="1">
        <v>0.58678140328473505</v>
      </c>
      <c r="E22" s="1">
        <v>-2.0598239884628402</v>
      </c>
    </row>
    <row r="23" spans="1:5" x14ac:dyDescent="0.35">
      <c r="A23">
        <v>20180430</v>
      </c>
      <c r="B23" s="2">
        <f t="shared" si="0"/>
        <v>43220</v>
      </c>
      <c r="C23" s="1">
        <v>1.8</v>
      </c>
      <c r="D23" s="1">
        <v>-0.19675240216823001</v>
      </c>
      <c r="E23" s="1">
        <v>-0.68295493758313797</v>
      </c>
    </row>
    <row r="24" spans="1:5" x14ac:dyDescent="0.35">
      <c r="A24">
        <v>20180531</v>
      </c>
      <c r="B24" s="2">
        <f t="shared" si="0"/>
        <v>43251</v>
      </c>
      <c r="C24" s="1">
        <v>1.8</v>
      </c>
      <c r="D24" s="1">
        <v>-0.15071189538552501</v>
      </c>
      <c r="E24" s="1">
        <v>5.4325246065477801E-3</v>
      </c>
    </row>
    <row r="25" spans="1:5" x14ac:dyDescent="0.35">
      <c r="A25">
        <v>20180630</v>
      </c>
      <c r="B25" s="2">
        <f t="shared" si="0"/>
        <v>43281</v>
      </c>
      <c r="C25" s="1">
        <v>1.9</v>
      </c>
      <c r="D25" s="1">
        <v>9.3687900197473695E-2</v>
      </c>
      <c r="E25" s="1">
        <v>0.19602365731701199</v>
      </c>
    </row>
    <row r="26" spans="1:5" x14ac:dyDescent="0.35">
      <c r="A26">
        <v>20180731</v>
      </c>
      <c r="B26" s="2">
        <f t="shared" si="0"/>
        <v>43312</v>
      </c>
      <c r="C26" s="1">
        <v>2.1</v>
      </c>
      <c r="D26" s="1">
        <v>0.52868594551361603</v>
      </c>
      <c r="E26" s="1">
        <v>0.35688835685797399</v>
      </c>
    </row>
    <row r="27" spans="1:5" x14ac:dyDescent="0.35">
      <c r="A27">
        <v>20180831</v>
      </c>
      <c r="B27" s="2">
        <f t="shared" si="0"/>
        <v>43343</v>
      </c>
      <c r="C27" s="1">
        <v>2.2999999999999998</v>
      </c>
      <c r="D27" s="1">
        <v>0.89617382953101898</v>
      </c>
      <c r="E27" s="1">
        <v>0.29305275433169897</v>
      </c>
    </row>
    <row r="28" spans="1:5" x14ac:dyDescent="0.35">
      <c r="A28">
        <v>20180930</v>
      </c>
      <c r="B28" s="2">
        <f t="shared" si="0"/>
        <v>43373</v>
      </c>
      <c r="C28" s="1">
        <v>2.5</v>
      </c>
      <c r="D28" s="1">
        <v>1.2197791934248201</v>
      </c>
      <c r="E28" s="1">
        <v>0.238832623478965</v>
      </c>
    </row>
    <row r="29" spans="1:5" x14ac:dyDescent="0.35">
      <c r="A29">
        <v>20181031</v>
      </c>
      <c r="B29" s="2">
        <f t="shared" si="0"/>
        <v>43404</v>
      </c>
      <c r="C29" s="1">
        <v>2.5</v>
      </c>
      <c r="D29" s="1">
        <v>0.97348923676545895</v>
      </c>
      <c r="E29" s="1">
        <v>-0.21375730867309001</v>
      </c>
    </row>
    <row r="30" spans="1:5" x14ac:dyDescent="0.35">
      <c r="A30">
        <v>20181130</v>
      </c>
      <c r="B30" s="2">
        <f t="shared" si="0"/>
        <v>43434</v>
      </c>
      <c r="C30" s="1">
        <v>2.2000000000000002</v>
      </c>
      <c r="D30" s="1">
        <v>8.3903281709722194E-2</v>
      </c>
      <c r="E30" s="1">
        <v>-0.80157560102813297</v>
      </c>
    </row>
    <row r="31" spans="1:5" x14ac:dyDescent="0.35">
      <c r="A31">
        <v>20181231</v>
      </c>
      <c r="B31" s="2">
        <f t="shared" si="0"/>
        <v>43465</v>
      </c>
      <c r="C31" s="1">
        <v>1.9</v>
      </c>
      <c r="D31" s="1">
        <v>-0.65647065704747498</v>
      </c>
      <c r="E31" s="1">
        <v>-0.66990515647361504</v>
      </c>
    </row>
    <row r="32" spans="1:5" x14ac:dyDescent="0.35">
      <c r="A32">
        <v>20190131</v>
      </c>
      <c r="B32" s="2">
        <f t="shared" si="0"/>
        <v>43496</v>
      </c>
      <c r="C32" s="1">
        <v>1.7</v>
      </c>
      <c r="D32" s="1">
        <v>-1.03649010593035</v>
      </c>
      <c r="E32" s="1">
        <v>-0.35203737004359997</v>
      </c>
    </row>
    <row r="33" spans="1:5" x14ac:dyDescent="0.35">
      <c r="A33">
        <v>20190228</v>
      </c>
      <c r="B33" s="2">
        <f t="shared" si="0"/>
        <v>43524</v>
      </c>
      <c r="C33" s="1">
        <v>1.5</v>
      </c>
      <c r="D33" s="1">
        <v>-1.3191406377116199</v>
      </c>
      <c r="E33" s="1">
        <v>-0.29476611254055002</v>
      </c>
    </row>
    <row r="34" spans="1:5" x14ac:dyDescent="0.35">
      <c r="A34">
        <v>20190331</v>
      </c>
      <c r="B34" s="2">
        <f t="shared" si="0"/>
        <v>43555</v>
      </c>
      <c r="C34" s="1">
        <v>2.2999999999999998</v>
      </c>
      <c r="D34" s="1">
        <v>0.72282889615199097</v>
      </c>
      <c r="E34" s="1">
        <v>1.9295921893196999</v>
      </c>
    </row>
    <row r="35" spans="1:5" x14ac:dyDescent="0.35">
      <c r="A35">
        <v>20190430</v>
      </c>
      <c r="B35" s="2">
        <f t="shared" si="0"/>
        <v>43585</v>
      </c>
      <c r="C35" s="1">
        <v>2.5</v>
      </c>
      <c r="D35" s="1">
        <v>1.0494457987355199</v>
      </c>
      <c r="E35" s="1">
        <v>0.29342830584288698</v>
      </c>
    </row>
    <row r="36" spans="1:5" x14ac:dyDescent="0.35">
      <c r="A36">
        <v>20190531</v>
      </c>
      <c r="B36" s="2">
        <f t="shared" si="0"/>
        <v>43616</v>
      </c>
      <c r="C36" s="1">
        <v>2.7</v>
      </c>
      <c r="D36" s="1">
        <v>1.3014783237191401</v>
      </c>
      <c r="E36" s="1">
        <v>0.244061245505511</v>
      </c>
    </row>
    <row r="37" spans="1:5" x14ac:dyDescent="0.35">
      <c r="A37">
        <v>20190630</v>
      </c>
      <c r="B37" s="2">
        <f t="shared" si="0"/>
        <v>43646</v>
      </c>
      <c r="C37" s="1">
        <v>2.7</v>
      </c>
      <c r="D37" s="1">
        <v>1.0244743492972599</v>
      </c>
      <c r="E37" s="1">
        <v>-0.233455754154484</v>
      </c>
    </row>
    <row r="38" spans="1:5" x14ac:dyDescent="0.35">
      <c r="A38">
        <v>20190731</v>
      </c>
      <c r="B38" s="2">
        <f t="shared" si="0"/>
        <v>43677</v>
      </c>
      <c r="C38" s="1">
        <v>2.8</v>
      </c>
      <c r="D38" s="1">
        <v>1.01083949496678</v>
      </c>
      <c r="E38" s="1">
        <v>1.47116062154667E-2</v>
      </c>
    </row>
    <row r="39" spans="1:5" x14ac:dyDescent="0.35">
      <c r="A39">
        <v>20190831</v>
      </c>
      <c r="B39" s="2">
        <f t="shared" si="0"/>
        <v>43708</v>
      </c>
      <c r="C39" s="1">
        <v>2.8</v>
      </c>
      <c r="D39" s="1">
        <v>0.783686375833761</v>
      </c>
      <c r="E39" s="1">
        <v>-0.191150145794347</v>
      </c>
    </row>
    <row r="40" spans="1:5" x14ac:dyDescent="0.35">
      <c r="A40">
        <v>20190930</v>
      </c>
      <c r="B40" s="2">
        <f t="shared" si="0"/>
        <v>43738</v>
      </c>
      <c r="C40" s="1">
        <v>3</v>
      </c>
      <c r="D40" s="1">
        <v>1.0179860274342201</v>
      </c>
      <c r="E40" s="1">
        <v>0.27070597399311802</v>
      </c>
    </row>
    <row r="41" spans="1:5" x14ac:dyDescent="0.35">
      <c r="A41">
        <v>20191031</v>
      </c>
      <c r="B41" s="2">
        <f t="shared" si="0"/>
        <v>43769</v>
      </c>
      <c r="C41" s="1">
        <v>3.8</v>
      </c>
      <c r="D41" s="1">
        <v>2.49131069609136</v>
      </c>
      <c r="E41" s="1">
        <v>1.47580387250275</v>
      </c>
    </row>
    <row r="42" spans="1:5" x14ac:dyDescent="0.35">
      <c r="A42">
        <v>20191130</v>
      </c>
      <c r="B42" s="2">
        <f t="shared" si="0"/>
        <v>43799</v>
      </c>
      <c r="C42" s="1">
        <v>4.5</v>
      </c>
      <c r="D42" s="1">
        <v>3</v>
      </c>
      <c r="E42" s="1">
        <v>0.97014243022546698</v>
      </c>
    </row>
    <row r="43" spans="1:5" x14ac:dyDescent="0.35">
      <c r="A43">
        <v>20191231</v>
      </c>
      <c r="B43" s="2">
        <f t="shared" si="0"/>
        <v>43830</v>
      </c>
      <c r="C43" s="1">
        <v>4.5</v>
      </c>
      <c r="D43" s="1">
        <v>2.3067313857855001</v>
      </c>
      <c r="E43" s="1">
        <v>-0.66672764408114904</v>
      </c>
    </row>
    <row r="44" spans="1:5" x14ac:dyDescent="0.35">
      <c r="A44">
        <v>20200131</v>
      </c>
      <c r="B44" s="2">
        <f t="shared" si="0"/>
        <v>43861</v>
      </c>
      <c r="C44" s="1">
        <v>5.4</v>
      </c>
      <c r="D44" s="1">
        <v>3</v>
      </c>
      <c r="E44" s="1">
        <v>1.30088604546131</v>
      </c>
    </row>
    <row r="45" spans="1:5" x14ac:dyDescent="0.35">
      <c r="A45">
        <v>20200229</v>
      </c>
      <c r="B45" s="2">
        <f t="shared" si="0"/>
        <v>43890</v>
      </c>
      <c r="C45" s="1">
        <v>5.2</v>
      </c>
      <c r="D45" s="1">
        <v>1.9800161075388101</v>
      </c>
      <c r="E45" s="1">
        <v>-1.18822753438801</v>
      </c>
    </row>
    <row r="46" spans="1:5" x14ac:dyDescent="0.35">
      <c r="A46">
        <v>20200331</v>
      </c>
      <c r="B46" s="2">
        <f t="shared" si="0"/>
        <v>43921</v>
      </c>
      <c r="C46" s="1">
        <v>4.3</v>
      </c>
      <c r="D46" s="1">
        <v>0.206884167946636</v>
      </c>
      <c r="E46" s="1">
        <v>-2.3895148027421298</v>
      </c>
    </row>
    <row r="47" spans="1:5" x14ac:dyDescent="0.35">
      <c r="A47">
        <v>20200430</v>
      </c>
      <c r="B47" s="2">
        <f t="shared" si="0"/>
        <v>43951</v>
      </c>
      <c r="C47" s="1">
        <v>3.3</v>
      </c>
      <c r="D47" s="1">
        <v>-1.5088460065161999</v>
      </c>
      <c r="E47" s="1">
        <v>-2.0676093189197999</v>
      </c>
    </row>
    <row r="48" spans="1:5" x14ac:dyDescent="0.35">
      <c r="A48">
        <v>20200531</v>
      </c>
      <c r="B48" s="2">
        <f t="shared" si="0"/>
        <v>43982</v>
      </c>
      <c r="C48" s="1">
        <v>2.4</v>
      </c>
      <c r="D48" s="1">
        <v>-2.7439075103905601</v>
      </c>
      <c r="E48" s="1">
        <v>-1.4541597139995499</v>
      </c>
    </row>
    <row r="49" spans="1:5" x14ac:dyDescent="0.35">
      <c r="A49">
        <v>20200630</v>
      </c>
      <c r="B49" s="2">
        <f t="shared" si="0"/>
        <v>44012</v>
      </c>
      <c r="C49" s="1">
        <v>2.5</v>
      </c>
      <c r="D49" s="1">
        <v>-2.0185512189553299</v>
      </c>
      <c r="E49" s="1">
        <v>0.61520866316859601</v>
      </c>
    </row>
    <row r="50" spans="1:5" x14ac:dyDescent="0.35">
      <c r="A50">
        <v>20200731</v>
      </c>
      <c r="B50" s="2">
        <f t="shared" si="0"/>
        <v>44043</v>
      </c>
      <c r="C50" s="1">
        <v>2.7</v>
      </c>
      <c r="D50" s="1">
        <v>-1.3952818679419701</v>
      </c>
      <c r="E50" s="1">
        <v>0.68565329371626904</v>
      </c>
    </row>
    <row r="51" spans="1:5" x14ac:dyDescent="0.35">
      <c r="A51">
        <v>20200831</v>
      </c>
      <c r="B51" s="2">
        <f t="shared" si="0"/>
        <v>44074</v>
      </c>
      <c r="C51" s="1">
        <v>2.4</v>
      </c>
      <c r="D51" s="1">
        <v>-1.59799910749219</v>
      </c>
      <c r="E51" s="1">
        <v>-0.31914569230600798</v>
      </c>
    </row>
    <row r="52" spans="1:5" x14ac:dyDescent="0.35">
      <c r="A52">
        <v>20200930</v>
      </c>
      <c r="B52" s="2">
        <f t="shared" si="0"/>
        <v>44104</v>
      </c>
      <c r="C52" s="1">
        <v>1.7</v>
      </c>
      <c r="D52" s="1">
        <v>-2.2159054171430101</v>
      </c>
      <c r="E52" s="1">
        <v>-0.99866449494522902</v>
      </c>
    </row>
    <row r="53" spans="1:5" x14ac:dyDescent="0.35">
      <c r="A53">
        <v>20201031</v>
      </c>
      <c r="B53" s="2">
        <f t="shared" si="0"/>
        <v>44135</v>
      </c>
      <c r="C53" s="1">
        <v>0.5</v>
      </c>
      <c r="D53" s="1">
        <v>-3</v>
      </c>
      <c r="E53" s="1">
        <v>-1.71011124627461</v>
      </c>
    </row>
    <row r="54" spans="1:5" x14ac:dyDescent="0.35">
      <c r="A54">
        <v>20201130</v>
      </c>
      <c r="B54" s="2">
        <f t="shared" si="0"/>
        <v>44165</v>
      </c>
      <c r="C54" s="1">
        <v>-0.5</v>
      </c>
      <c r="D54" s="1">
        <v>-3</v>
      </c>
      <c r="E54" s="1">
        <v>-1.0028143167706201</v>
      </c>
    </row>
    <row r="55" spans="1:5" x14ac:dyDescent="0.35">
      <c r="A55">
        <v>20201231</v>
      </c>
      <c r="B55" s="2">
        <f t="shared" si="0"/>
        <v>44196</v>
      </c>
      <c r="C55" s="1">
        <v>0.2</v>
      </c>
      <c r="D55" s="1">
        <v>-1.80445410832844</v>
      </c>
      <c r="E55" s="1">
        <v>2.1770948543887698</v>
      </c>
    </row>
    <row r="56" spans="1:5" x14ac:dyDescent="0.35">
      <c r="A56">
        <v>20210131</v>
      </c>
      <c r="B56" s="2">
        <f t="shared" si="0"/>
        <v>44227</v>
      </c>
      <c r="C56" s="1">
        <v>-0.3</v>
      </c>
      <c r="D56" s="1">
        <v>-1.86173768443254</v>
      </c>
      <c r="E56" s="1">
        <v>-0.27714890700686601</v>
      </c>
    </row>
    <row r="57" spans="1:5" x14ac:dyDescent="0.35">
      <c r="A57">
        <v>20210228</v>
      </c>
      <c r="B57" s="2">
        <f t="shared" si="0"/>
        <v>44255</v>
      </c>
      <c r="C57" s="1">
        <v>-0.2</v>
      </c>
      <c r="D57" s="1">
        <v>-1.37918073873743</v>
      </c>
      <c r="E57" s="1">
        <v>0.80766148542814697</v>
      </c>
    </row>
    <row r="58" spans="1:5" x14ac:dyDescent="0.35">
      <c r="A58">
        <v>20210331</v>
      </c>
      <c r="B58" s="2">
        <f t="shared" si="0"/>
        <v>44286</v>
      </c>
      <c r="C58" s="1">
        <v>0.4</v>
      </c>
      <c r="D58" s="1">
        <v>-0.58760304723762802</v>
      </c>
      <c r="E58" s="1">
        <v>1.6175063918541801</v>
      </c>
    </row>
    <row r="59" spans="1:5" x14ac:dyDescent="0.35">
      <c r="A59">
        <v>20210430</v>
      </c>
      <c r="B59" s="2">
        <f t="shared" si="0"/>
        <v>44316</v>
      </c>
      <c r="C59" s="1">
        <v>0.9</v>
      </c>
      <c r="D59" s="1">
        <v>-4.2536614674755502E-2</v>
      </c>
      <c r="E59" s="1">
        <v>1.1355181710139799</v>
      </c>
    </row>
    <row r="60" spans="1:5" x14ac:dyDescent="0.35">
      <c r="A60">
        <v>20210531</v>
      </c>
      <c r="B60" s="2">
        <f t="shared" si="0"/>
        <v>44347</v>
      </c>
      <c r="C60" s="1">
        <v>1.3</v>
      </c>
      <c r="D60" s="1">
        <v>0.315883798912382</v>
      </c>
      <c r="E60" s="1">
        <v>0.76596036249295896</v>
      </c>
    </row>
    <row r="61" spans="1:5" x14ac:dyDescent="0.35">
      <c r="A61">
        <v>20210630</v>
      </c>
      <c r="B61" s="2">
        <f t="shared" si="0"/>
        <v>44377</v>
      </c>
      <c r="C61" s="1">
        <v>1.1000000000000001</v>
      </c>
      <c r="D61" s="1">
        <v>0.113044976429517</v>
      </c>
      <c r="E61" s="1">
        <v>-0.43992820311740299</v>
      </c>
    </row>
    <row r="62" spans="1:5" x14ac:dyDescent="0.35">
      <c r="A62">
        <v>20210731</v>
      </c>
      <c r="B62" s="2">
        <f t="shared" si="0"/>
        <v>44408</v>
      </c>
      <c r="C62" s="1">
        <v>1</v>
      </c>
      <c r="D62" s="1">
        <v>3.1348038999740403E-2</v>
      </c>
      <c r="E62" s="1">
        <v>-0.183802885982326</v>
      </c>
    </row>
    <row r="63" spans="1:5" x14ac:dyDescent="0.35">
      <c r="A63">
        <v>20210831</v>
      </c>
      <c r="B63" s="2">
        <f t="shared" si="0"/>
        <v>44439</v>
      </c>
      <c r="C63" s="1">
        <v>0.8</v>
      </c>
      <c r="D63" s="1">
        <v>-0.11375478025796899</v>
      </c>
      <c r="E63" s="1">
        <v>-0.33568391950163501</v>
      </c>
    </row>
    <row r="64" spans="1:5" x14ac:dyDescent="0.35">
      <c r="A64">
        <v>20210930</v>
      </c>
      <c r="B64" s="2">
        <f t="shared" si="0"/>
        <v>44469</v>
      </c>
      <c r="C64" s="1">
        <v>0.7</v>
      </c>
      <c r="D64" s="1">
        <v>-0.14497803994470501</v>
      </c>
      <c r="E64" s="1">
        <v>-8.17832792107136E-2</v>
      </c>
    </row>
    <row r="65" spans="1:5" x14ac:dyDescent="0.35">
      <c r="A65">
        <v>20211031</v>
      </c>
      <c r="B65" s="2">
        <f t="shared" si="0"/>
        <v>44500</v>
      </c>
      <c r="C65" s="1">
        <v>1.5</v>
      </c>
      <c r="D65" s="1">
        <v>0.58607244414333404</v>
      </c>
      <c r="E65" s="1">
        <v>1.56004962060617</v>
      </c>
    </row>
    <row r="66" spans="1:5" x14ac:dyDescent="0.35">
      <c r="A66">
        <v>20211130</v>
      </c>
      <c r="B66" s="2">
        <f t="shared" si="0"/>
        <v>44530</v>
      </c>
      <c r="C66" s="1">
        <v>2.2999999999999998</v>
      </c>
      <c r="D66" s="1">
        <v>1.1858171890614599</v>
      </c>
      <c r="E66" s="1">
        <v>1.2729509378578401</v>
      </c>
    </row>
    <row r="67" spans="1:5" x14ac:dyDescent="0.35">
      <c r="A67">
        <v>20211231</v>
      </c>
      <c r="B67" s="2">
        <f t="shared" ref="B67:B118" si="1">DATE(LEFT(A67,4),MID(A67,5,2),RIGHT(A67,2))</f>
        <v>44561</v>
      </c>
      <c r="C67" s="1">
        <v>1.5</v>
      </c>
      <c r="D67" s="1">
        <v>0.32778954592355197</v>
      </c>
      <c r="E67" s="1">
        <v>-1.77487210530232</v>
      </c>
    </row>
    <row r="68" spans="1:5" x14ac:dyDescent="0.35">
      <c r="A68">
        <v>20220131</v>
      </c>
      <c r="B68" s="2">
        <f t="shared" si="1"/>
        <v>44592</v>
      </c>
      <c r="C68" s="1">
        <v>0.9</v>
      </c>
      <c r="D68" s="1">
        <v>-0.20435869385204</v>
      </c>
      <c r="E68" s="1">
        <v>-1.0842018924496499</v>
      </c>
    </row>
    <row r="69" spans="1:5" x14ac:dyDescent="0.35">
      <c r="A69">
        <v>20220228</v>
      </c>
      <c r="B69" s="2">
        <f t="shared" si="1"/>
        <v>44620</v>
      </c>
      <c r="C69" s="1">
        <v>0.9</v>
      </c>
      <c r="D69" s="1">
        <v>-0.15475446753120101</v>
      </c>
      <c r="E69" s="1">
        <v>0.109672357967089</v>
      </c>
    </row>
    <row r="70" spans="1:5" x14ac:dyDescent="0.35">
      <c r="A70">
        <v>20220331</v>
      </c>
      <c r="B70" s="2">
        <f t="shared" si="1"/>
        <v>44651</v>
      </c>
      <c r="C70" s="1">
        <v>1.5</v>
      </c>
      <c r="D70" s="1">
        <v>0.37348993474023401</v>
      </c>
      <c r="E70" s="1">
        <v>1.2295445071265301</v>
      </c>
    </row>
    <row r="71" spans="1:5" x14ac:dyDescent="0.35">
      <c r="A71">
        <v>20220430</v>
      </c>
      <c r="B71" s="2">
        <f t="shared" si="1"/>
        <v>44681</v>
      </c>
      <c r="C71" s="1">
        <v>2.1</v>
      </c>
      <c r="D71" s="1">
        <v>0.82539557851326095</v>
      </c>
      <c r="E71" s="1">
        <v>1.00572976491958</v>
      </c>
    </row>
    <row r="72" spans="1:5" x14ac:dyDescent="0.35">
      <c r="A72">
        <v>20220531</v>
      </c>
      <c r="B72" s="2">
        <f t="shared" si="1"/>
        <v>44712</v>
      </c>
      <c r="C72" s="1">
        <v>2.1</v>
      </c>
      <c r="D72" s="1">
        <v>0.70341667343340697</v>
      </c>
      <c r="E72" s="1">
        <v>-0.27890472093278301</v>
      </c>
    </row>
    <row r="73" spans="1:5" x14ac:dyDescent="0.35">
      <c r="A73">
        <v>20220630</v>
      </c>
      <c r="B73" s="2">
        <f t="shared" si="1"/>
        <v>44742</v>
      </c>
      <c r="C73" s="1">
        <v>2.5</v>
      </c>
      <c r="D73" s="1">
        <v>0.93261958381075505</v>
      </c>
      <c r="E73" s="1">
        <v>0.49076628530577299</v>
      </c>
    </row>
    <row r="74" spans="1:5" x14ac:dyDescent="0.35">
      <c r="A74">
        <v>20220731</v>
      </c>
      <c r="B74" s="2">
        <f t="shared" si="1"/>
        <v>44773</v>
      </c>
      <c r="C74" s="1">
        <v>2.7</v>
      </c>
      <c r="D74" s="1">
        <v>0.94820886347447197</v>
      </c>
      <c r="E74" s="1">
        <v>4.0534874897892197E-2</v>
      </c>
    </row>
    <row r="75" spans="1:5" x14ac:dyDescent="0.35">
      <c r="A75">
        <v>20220831</v>
      </c>
      <c r="B75" s="2">
        <f t="shared" si="1"/>
        <v>44804</v>
      </c>
      <c r="C75" s="1">
        <v>2.5</v>
      </c>
      <c r="D75" s="1">
        <v>0.63786818493895903</v>
      </c>
      <c r="E75" s="1">
        <v>-0.69137853359076396</v>
      </c>
    </row>
    <row r="76" spans="1:5" x14ac:dyDescent="0.35">
      <c r="A76">
        <v>20220930</v>
      </c>
      <c r="B76" s="2">
        <f t="shared" si="1"/>
        <v>44834</v>
      </c>
      <c r="C76" s="1">
        <v>2.8</v>
      </c>
      <c r="D76" s="1">
        <v>0.78365442436055399</v>
      </c>
      <c r="E76" s="1">
        <v>0.33586269142213099</v>
      </c>
    </row>
    <row r="77" spans="1:5" x14ac:dyDescent="0.35">
      <c r="A77">
        <v>20221031</v>
      </c>
      <c r="B77" s="2">
        <f t="shared" si="1"/>
        <v>44865</v>
      </c>
      <c r="C77" s="1">
        <v>2.1</v>
      </c>
      <c r="D77" s="1">
        <v>0.109637663755739</v>
      </c>
      <c r="E77" s="1">
        <v>-1.5255017681179499</v>
      </c>
    </row>
    <row r="78" spans="1:5" x14ac:dyDescent="0.35">
      <c r="A78">
        <v>20221130</v>
      </c>
      <c r="B78" s="2">
        <f t="shared" si="1"/>
        <v>44895</v>
      </c>
      <c r="C78" s="1">
        <v>1.6</v>
      </c>
      <c r="D78" s="1">
        <v>-0.27086136894455498</v>
      </c>
      <c r="E78" s="1">
        <v>-0.88234034978599496</v>
      </c>
    </row>
    <row r="79" spans="1:5" x14ac:dyDescent="0.35">
      <c r="A79">
        <v>20221231</v>
      </c>
      <c r="B79" s="2">
        <f t="shared" si="1"/>
        <v>44926</v>
      </c>
      <c r="C79" s="1">
        <v>1.8</v>
      </c>
      <c r="D79" s="1">
        <v>-2.9527820178561598E-3</v>
      </c>
      <c r="E79" s="1">
        <v>0.493488392625681</v>
      </c>
    </row>
    <row r="80" spans="1:5" x14ac:dyDescent="0.35">
      <c r="A80">
        <v>20230131</v>
      </c>
      <c r="B80" s="2">
        <f t="shared" si="1"/>
        <v>44957</v>
      </c>
      <c r="C80" s="1">
        <v>2.1</v>
      </c>
      <c r="D80" s="1">
        <v>0.320687081801526</v>
      </c>
      <c r="E80" s="1">
        <v>0.57532366465513896</v>
      </c>
    </row>
    <row r="81" spans="1:5" x14ac:dyDescent="0.35">
      <c r="A81">
        <v>20230228</v>
      </c>
      <c r="B81" s="2">
        <f t="shared" si="1"/>
        <v>44985</v>
      </c>
      <c r="C81" s="1">
        <v>1</v>
      </c>
      <c r="D81" s="1">
        <v>-0.63854266431159501</v>
      </c>
      <c r="E81" s="1">
        <v>-1.9878873065048299</v>
      </c>
    </row>
    <row r="82" spans="1:5" x14ac:dyDescent="0.35">
      <c r="A82">
        <v>20230331</v>
      </c>
      <c r="B82" s="2">
        <f t="shared" si="1"/>
        <v>45016</v>
      </c>
      <c r="C82" s="1">
        <v>0.7</v>
      </c>
      <c r="D82" s="1">
        <v>-0.74076859050042898</v>
      </c>
      <c r="E82" s="1">
        <v>-0.23674678753157299</v>
      </c>
    </row>
    <row r="83" spans="1:5" x14ac:dyDescent="0.35">
      <c r="A83">
        <v>20230430</v>
      </c>
      <c r="B83" s="2">
        <f t="shared" si="1"/>
        <v>45046</v>
      </c>
      <c r="C83" s="1">
        <v>0.1</v>
      </c>
      <c r="D83" s="1">
        <v>-1.1107842253367399</v>
      </c>
      <c r="E83" s="1">
        <v>-0.68433789674402401</v>
      </c>
    </row>
    <row r="84" spans="1:5" x14ac:dyDescent="0.35">
      <c r="A84">
        <v>20230531</v>
      </c>
      <c r="B84" s="2">
        <f t="shared" si="1"/>
        <v>45077</v>
      </c>
      <c r="C84" s="1">
        <v>0.2</v>
      </c>
      <c r="D84" s="1">
        <v>-0.74525627060638999</v>
      </c>
      <c r="E84" s="1">
        <v>0.65739683796329396</v>
      </c>
    </row>
    <row r="85" spans="1:5" x14ac:dyDescent="0.35">
      <c r="A85">
        <v>20230630</v>
      </c>
      <c r="B85" s="2">
        <f t="shared" si="1"/>
        <v>45107</v>
      </c>
      <c r="C85" s="1">
        <v>0</v>
      </c>
      <c r="D85" s="1">
        <v>-0.76538606035565804</v>
      </c>
      <c r="E85" s="1">
        <v>4.30122990736619E-2</v>
      </c>
    </row>
    <row r="86" spans="1:5" x14ac:dyDescent="0.35">
      <c r="A86">
        <v>20230731</v>
      </c>
      <c r="B86" s="2">
        <f t="shared" si="1"/>
        <v>45138</v>
      </c>
      <c r="C86" s="1">
        <v>-0.3</v>
      </c>
      <c r="D86" s="1">
        <v>-0.86475348329096502</v>
      </c>
      <c r="E86" s="1">
        <v>-0.128059154390713</v>
      </c>
    </row>
    <row r="87" spans="1:5" x14ac:dyDescent="0.35">
      <c r="A87">
        <v>20230831</v>
      </c>
      <c r="B87" s="2">
        <f t="shared" si="1"/>
        <v>45169</v>
      </c>
      <c r="C87" s="1">
        <v>0.1</v>
      </c>
      <c r="D87" s="1">
        <v>-0.270140173867148</v>
      </c>
      <c r="E87" s="1">
        <v>1.10712378940381</v>
      </c>
    </row>
    <row r="88" spans="1:5" x14ac:dyDescent="0.35">
      <c r="A88">
        <v>20230930</v>
      </c>
      <c r="B88" s="2">
        <f t="shared" si="1"/>
        <v>45199</v>
      </c>
      <c r="C88" s="1">
        <v>0</v>
      </c>
      <c r="D88" s="1">
        <v>-0.26297189338836702</v>
      </c>
      <c r="E88" s="1">
        <v>6.3713374474355697E-2</v>
      </c>
    </row>
    <row r="89" spans="1:5" x14ac:dyDescent="0.35">
      <c r="A89">
        <v>20231031</v>
      </c>
      <c r="B89" s="2">
        <f t="shared" si="1"/>
        <v>45230</v>
      </c>
      <c r="C89" s="1">
        <v>-0.2</v>
      </c>
      <c r="D89" s="1">
        <v>-0.371122576401687</v>
      </c>
      <c r="E89" s="1">
        <v>-0.105032961879158</v>
      </c>
    </row>
    <row r="90" spans="1:5" x14ac:dyDescent="0.35">
      <c r="A90">
        <v>20231130</v>
      </c>
      <c r="B90" s="2">
        <f t="shared" si="1"/>
        <v>45260</v>
      </c>
      <c r="C90" s="1">
        <v>-0.5</v>
      </c>
      <c r="D90" s="1">
        <v>-0.61452563040108099</v>
      </c>
      <c r="E90" s="1">
        <v>-0.226991802115003</v>
      </c>
    </row>
    <row r="91" spans="1:5" x14ac:dyDescent="0.35">
      <c r="A91">
        <v>20231231</v>
      </c>
      <c r="B91" s="2">
        <f t="shared" si="1"/>
        <v>45291</v>
      </c>
      <c r="C91" s="1">
        <v>-0.3</v>
      </c>
      <c r="D91" s="1">
        <v>-0.35648906814069298</v>
      </c>
      <c r="E91" s="1">
        <v>0.71300490819706897</v>
      </c>
    </row>
    <row r="92" spans="1:5" x14ac:dyDescent="0.35">
      <c r="A92">
        <v>20240131</v>
      </c>
      <c r="B92" s="2">
        <f t="shared" si="1"/>
        <v>45322</v>
      </c>
      <c r="C92" s="1">
        <v>-0.8</v>
      </c>
      <c r="D92" s="1">
        <v>-0.89044525221873805</v>
      </c>
      <c r="E92" s="1">
        <v>-0.62052286331217599</v>
      </c>
    </row>
    <row r="93" spans="1:5" x14ac:dyDescent="0.35">
      <c r="A93">
        <v>20240229</v>
      </c>
      <c r="B93" s="2">
        <f t="shared" si="1"/>
        <v>45351</v>
      </c>
      <c r="C93" s="1">
        <v>0.7</v>
      </c>
      <c r="D93" s="1">
        <v>1.0983562164926</v>
      </c>
      <c r="E93" s="1">
        <v>3</v>
      </c>
    </row>
    <row r="94" spans="1:5" x14ac:dyDescent="0.35">
      <c r="A94">
        <v>20240331</v>
      </c>
      <c r="B94" s="2">
        <f t="shared" si="1"/>
        <v>45382</v>
      </c>
      <c r="C94" s="1">
        <v>0.1</v>
      </c>
      <c r="D94" s="1">
        <v>0.15095662340622701</v>
      </c>
      <c r="E94" s="1">
        <v>-1.09377410942444</v>
      </c>
    </row>
    <row r="95" spans="1:5" x14ac:dyDescent="0.35">
      <c r="A95">
        <v>20240430</v>
      </c>
      <c r="B95" s="2">
        <f t="shared" si="1"/>
        <v>45412</v>
      </c>
      <c r="C95" s="1">
        <v>0.3</v>
      </c>
      <c r="D95" s="1">
        <v>0.40133617075080402</v>
      </c>
      <c r="E95" s="1">
        <v>0.37035600042715999</v>
      </c>
    </row>
    <row r="96" spans="1:5" x14ac:dyDescent="0.35">
      <c r="A96">
        <v>20240531</v>
      </c>
      <c r="B96" s="2">
        <f t="shared" si="1"/>
        <v>45443</v>
      </c>
      <c r="C96" s="1">
        <v>0.3</v>
      </c>
      <c r="D96" s="1">
        <v>0.36058493541085201</v>
      </c>
      <c r="E96" s="1">
        <v>-6.2362033575855201E-2</v>
      </c>
    </row>
    <row r="97" spans="1:5" x14ac:dyDescent="0.35">
      <c r="A97">
        <v>20240630</v>
      </c>
      <c r="B97" s="2">
        <f t="shared" si="1"/>
        <v>45473</v>
      </c>
      <c r="C97" s="1">
        <v>0.2</v>
      </c>
      <c r="D97" s="1">
        <v>0.21131221674596201</v>
      </c>
      <c r="E97" s="1">
        <v>-0.26256716790186502</v>
      </c>
    </row>
    <row r="98" spans="1:5" x14ac:dyDescent="0.35">
      <c r="A98">
        <v>20240731</v>
      </c>
      <c r="B98" s="2">
        <f t="shared" si="1"/>
        <v>45504</v>
      </c>
      <c r="C98" s="1">
        <v>0.5</v>
      </c>
      <c r="D98" s="1">
        <v>0.60359080559433298</v>
      </c>
      <c r="E98" s="1">
        <v>0.488822153137557</v>
      </c>
    </row>
    <row r="99" spans="1:5" x14ac:dyDescent="0.35">
      <c r="A99">
        <v>20240831</v>
      </c>
      <c r="B99" s="2">
        <f t="shared" si="1"/>
        <v>45535</v>
      </c>
      <c r="C99" s="1">
        <v>0.6</v>
      </c>
      <c r="D99" s="1">
        <v>0.65631346398868895</v>
      </c>
      <c r="E99" s="1">
        <v>5.7975116059872503E-2</v>
      </c>
    </row>
    <row r="100" spans="1:5" x14ac:dyDescent="0.35">
      <c r="A100">
        <v>20240930</v>
      </c>
      <c r="B100" s="2">
        <f t="shared" si="1"/>
        <v>45565</v>
      </c>
      <c r="C100" s="1">
        <v>0.4</v>
      </c>
      <c r="D100" s="1">
        <v>0.300822202379466</v>
      </c>
      <c r="E100" s="1">
        <v>-0.49516163975470501</v>
      </c>
    </row>
    <row r="101" spans="1:5" x14ac:dyDescent="0.35">
      <c r="A101">
        <v>20241031</v>
      </c>
      <c r="B101" s="2">
        <f t="shared" si="1"/>
        <v>45596</v>
      </c>
      <c r="C101" s="1">
        <v>0.3</v>
      </c>
      <c r="D101" s="1">
        <v>0.135950722752052</v>
      </c>
      <c r="E101" s="1">
        <v>-0.26319681623649799</v>
      </c>
    </row>
    <row r="102" spans="1:5" x14ac:dyDescent="0.35">
      <c r="A102">
        <v>20241130</v>
      </c>
      <c r="B102" s="2">
        <f t="shared" si="1"/>
        <v>45626</v>
      </c>
      <c r="C102" s="1">
        <v>0.2</v>
      </c>
      <c r="D102" s="1">
        <v>2.9090294309590099E-2</v>
      </c>
      <c r="E102" s="1">
        <v>-0.272980694462506</v>
      </c>
    </row>
    <row r="103" spans="1:5" x14ac:dyDescent="0.35">
      <c r="A103">
        <v>20241231</v>
      </c>
      <c r="B103" s="2">
        <f t="shared" si="1"/>
        <v>45657</v>
      </c>
      <c r="C103" s="1">
        <v>0.1</v>
      </c>
      <c r="D103" s="1">
        <v>-3.1296123871026399E-2</v>
      </c>
      <c r="E103" s="1">
        <v>-0.26991654505385998</v>
      </c>
    </row>
    <row r="104" spans="1:5" x14ac:dyDescent="0.35">
      <c r="A104">
        <v>20250131</v>
      </c>
      <c r="B104" s="2">
        <f t="shared" si="1"/>
        <v>45688</v>
      </c>
      <c r="C104" s="1">
        <v>0.5</v>
      </c>
      <c r="D104" s="1">
        <v>0.57830634525106595</v>
      </c>
      <c r="E104" s="1">
        <v>0.77753684105151499</v>
      </c>
    </row>
    <row r="105" spans="1:5" x14ac:dyDescent="0.35">
      <c r="A105">
        <v>20250228</v>
      </c>
      <c r="B105" s="2">
        <f t="shared" si="1"/>
        <v>45716</v>
      </c>
      <c r="C105" s="1">
        <v>-0.7</v>
      </c>
      <c r="D105" s="1">
        <v>-1.14552186678331</v>
      </c>
      <c r="E105" s="1">
        <v>-2.5204254176593399</v>
      </c>
    </row>
    <row r="106" spans="1:5" x14ac:dyDescent="0.35">
      <c r="A106">
        <v>20250331</v>
      </c>
      <c r="B106" s="2">
        <f t="shared" si="1"/>
        <v>45747</v>
      </c>
      <c r="C106" s="1">
        <v>-0.1</v>
      </c>
      <c r="D106" s="1">
        <v>-8.2528116475312996E-2</v>
      </c>
      <c r="E106" s="1">
        <v>1.3726899619155799</v>
      </c>
    </row>
    <row r="107" spans="1:5" x14ac:dyDescent="0.35">
      <c r="A107">
        <v>20250430</v>
      </c>
      <c r="B107" s="2">
        <f t="shared" si="1"/>
        <v>45777</v>
      </c>
      <c r="C107" s="1">
        <v>-0.1</v>
      </c>
      <c r="D107" s="1">
        <v>-9.8938418026248507E-3</v>
      </c>
      <c r="E107" s="1">
        <v>4.8949479751317797E-2</v>
      </c>
    </row>
    <row r="108" spans="1:5" x14ac:dyDescent="0.35">
      <c r="A108">
        <v>20250531</v>
      </c>
      <c r="B108" s="2">
        <f t="shared" si="1"/>
        <v>45808</v>
      </c>
      <c r="C108" s="1">
        <v>-0.1</v>
      </c>
      <c r="D108" s="1">
        <v>7.7140194519070004E-2</v>
      </c>
      <c r="E108" s="1">
        <v>6.1740583326763299E-2</v>
      </c>
    </row>
    <row r="109" spans="1:5" x14ac:dyDescent="0.35">
      <c r="A109">
        <v>20250630</v>
      </c>
      <c r="B109" s="2">
        <f t="shared" si="1"/>
        <v>45838</v>
      </c>
      <c r="C109" s="1">
        <v>0.1</v>
      </c>
      <c r="D109" s="1">
        <v>0.443929058708736</v>
      </c>
      <c r="E109" s="1">
        <v>0.44986948497705698</v>
      </c>
    </row>
    <row r="110" spans="1:5" x14ac:dyDescent="0.35">
      <c r="A110">
        <v>20250731</v>
      </c>
      <c r="B110" s="2">
        <f t="shared" si="1"/>
        <v>45869</v>
      </c>
      <c r="C110" s="1">
        <v>0</v>
      </c>
      <c r="D110" s="1">
        <v>0.34398672090904497</v>
      </c>
      <c r="E110" s="1">
        <v>-0.20727757865656599</v>
      </c>
    </row>
    <row r="111" spans="1:5" x14ac:dyDescent="0.35">
      <c r="A111">
        <v>20250831</v>
      </c>
      <c r="B111" s="2">
        <f t="shared" si="1"/>
        <v>45900</v>
      </c>
      <c r="C111" s="1">
        <v>-0.4</v>
      </c>
      <c r="D111" s="1">
        <v>-0.21464809160183801</v>
      </c>
      <c r="E111" s="1">
        <v>-0.74739849274605896</v>
      </c>
    </row>
    <row r="112" spans="1:5" x14ac:dyDescent="0.35">
      <c r="A112">
        <v>20250930</v>
      </c>
      <c r="B112" s="2">
        <f t="shared" si="1"/>
        <v>45930</v>
      </c>
      <c r="C112" s="1">
        <v>-0.3</v>
      </c>
      <c r="D112" s="1">
        <v>0.11443023993656</v>
      </c>
      <c r="E112" s="1">
        <v>0.327403168631002</v>
      </c>
    </row>
    <row r="113" spans="1:5" x14ac:dyDescent="0.35">
      <c r="A113">
        <v>20251031</v>
      </c>
      <c r="B113" s="2">
        <f t="shared" si="1"/>
        <v>45961</v>
      </c>
      <c r="C113" s="1">
        <v>0.2</v>
      </c>
      <c r="D113" s="1">
        <v>1.1586180440310101</v>
      </c>
      <c r="E113" s="1">
        <v>1.0273321607168</v>
      </c>
    </row>
    <row r="114" spans="1:5" x14ac:dyDescent="0.35">
      <c r="A114">
        <v>20251130</v>
      </c>
      <c r="B114" s="2">
        <f t="shared" si="1"/>
        <v>45991</v>
      </c>
      <c r="C114" s="1">
        <v>0.7</v>
      </c>
      <c r="D114" s="1">
        <v>1.95528860893654</v>
      </c>
      <c r="E114" s="1">
        <v>0.89609602596051496</v>
      </c>
    </row>
    <row r="115" spans="1:5" x14ac:dyDescent="0.35">
      <c r="A115">
        <v>20251231</v>
      </c>
      <c r="B115" s="2">
        <f t="shared" si="1"/>
        <v>46022</v>
      </c>
      <c r="C115" s="1">
        <v>0.8</v>
      </c>
      <c r="D115" s="1">
        <v>1.78561142896755</v>
      </c>
      <c r="E115" s="1">
        <v>-1.0808888992453101E-3</v>
      </c>
    </row>
    <row r="116" spans="1:5" x14ac:dyDescent="0.35">
      <c r="A116">
        <v>20260131</v>
      </c>
      <c r="B116" s="2">
        <f t="shared" si="1"/>
        <v>46053</v>
      </c>
      <c r="C116" s="1">
        <v>0.2</v>
      </c>
      <c r="D116" s="1">
        <v>0.51896363795151701</v>
      </c>
      <c r="E116" s="1">
        <v>-1.4637465822920499</v>
      </c>
    </row>
    <row r="117" spans="1:5" x14ac:dyDescent="0.35">
      <c r="A117">
        <v>20260228</v>
      </c>
      <c r="B117" s="2">
        <f t="shared" si="1"/>
        <v>46081</v>
      </c>
      <c r="C117" s="1">
        <v>1.3</v>
      </c>
      <c r="D117" s="1">
        <v>2.32269607066439</v>
      </c>
      <c r="E117" s="1">
        <v>2.2117078373094001</v>
      </c>
    </row>
    <row r="118" spans="1:5" x14ac:dyDescent="0.35">
      <c r="A118">
        <v>20260331</v>
      </c>
      <c r="B118" s="2">
        <f t="shared" si="1"/>
        <v>46112</v>
      </c>
      <c r="C118" s="1">
        <v>1</v>
      </c>
      <c r="D118" s="1">
        <v>1.3863324673355299</v>
      </c>
      <c r="E118" s="1">
        <v>-0.96408004347134801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6C44-73D3-48A3-8006-89E2E90BBA34}">
  <dimension ref="A1:E119"/>
  <sheetViews>
    <sheetView workbookViewId="0">
      <selection activeCell="B2" sqref="B2"/>
    </sheetView>
  </sheetViews>
  <sheetFormatPr defaultRowHeight="14.15" x14ac:dyDescent="0.35"/>
  <cols>
    <col min="2" max="2" width="10.640625" bestFit="1" customWidth="1"/>
    <col min="4" max="4" width="16.5" style="1" bestFit="1" customWidth="1"/>
    <col min="5" max="5" width="18.85546875" style="1" bestFit="1" customWidth="1"/>
  </cols>
  <sheetData>
    <row r="1" spans="1:5" x14ac:dyDescent="0.35">
      <c r="A1" t="s">
        <v>0</v>
      </c>
      <c r="C1" t="s">
        <v>3</v>
      </c>
      <c r="D1" s="1" t="s">
        <v>1</v>
      </c>
      <c r="E1" s="1" t="s">
        <v>2</v>
      </c>
    </row>
    <row r="2" spans="1:5" x14ac:dyDescent="0.35">
      <c r="A2">
        <v>20160731</v>
      </c>
      <c r="B2" s="2">
        <f>DATE(LEFT(A2,4),MID(A2,5,2),RIGHT(A2,2))</f>
        <v>42582</v>
      </c>
      <c r="C2" s="1">
        <v>0.46266214047625542</v>
      </c>
      <c r="D2" s="1">
        <v>2.06066619040041</v>
      </c>
    </row>
    <row r="3" spans="1:5" x14ac:dyDescent="0.35">
      <c r="A3">
        <v>20160831</v>
      </c>
      <c r="B3" s="2">
        <f t="shared" ref="B3:B66" si="0">DATE(LEFT(A3,4),MID(A3,5,2),RIGHT(A3,2))</f>
        <v>42613</v>
      </c>
      <c r="C3" s="1">
        <v>-0.47158448681601239</v>
      </c>
      <c r="D3" s="1">
        <v>1.83804295298355</v>
      </c>
      <c r="E3" s="1">
        <v>-9.7345065685326096E-2</v>
      </c>
    </row>
    <row r="4" spans="1:5" x14ac:dyDescent="0.35">
      <c r="A4">
        <v>20160930</v>
      </c>
      <c r="B4" s="2">
        <f t="shared" si="0"/>
        <v>42643</v>
      </c>
      <c r="C4" s="1">
        <v>2.6883872469164682</v>
      </c>
      <c r="D4" s="1">
        <v>1.1630213565426499</v>
      </c>
      <c r="E4" s="1">
        <v>-1.14179893250973</v>
      </c>
    </row>
    <row r="5" spans="1:5" x14ac:dyDescent="0.35">
      <c r="A5">
        <v>20161031</v>
      </c>
      <c r="B5" s="2">
        <f t="shared" si="0"/>
        <v>42674</v>
      </c>
      <c r="C5" s="1">
        <v>10.05865129223209</v>
      </c>
      <c r="D5" s="1">
        <v>1.5463828741469201</v>
      </c>
      <c r="E5" s="1">
        <v>0.80324816997673798</v>
      </c>
    </row>
    <row r="6" spans="1:5" x14ac:dyDescent="0.35">
      <c r="A6">
        <v>20161130</v>
      </c>
      <c r="B6" s="2">
        <f t="shared" si="0"/>
        <v>42704</v>
      </c>
      <c r="C6" s="1">
        <v>8.9449711306410773</v>
      </c>
      <c r="D6" s="1">
        <v>3</v>
      </c>
      <c r="E6" s="1">
        <v>3</v>
      </c>
    </row>
    <row r="7" spans="1:5" x14ac:dyDescent="0.35">
      <c r="A7">
        <v>20161231</v>
      </c>
      <c r="B7" s="2">
        <f t="shared" si="0"/>
        <v>42735</v>
      </c>
      <c r="C7" s="1">
        <v>-1.3691794751604758</v>
      </c>
      <c r="D7" s="1">
        <v>2.6193396518263499</v>
      </c>
      <c r="E7" s="1">
        <v>1.9919824651951699E-3</v>
      </c>
    </row>
    <row r="8" spans="1:5" x14ac:dyDescent="0.35">
      <c r="A8">
        <v>20170131</v>
      </c>
      <c r="B8" s="2">
        <f t="shared" si="0"/>
        <v>42766</v>
      </c>
      <c r="C8" s="1">
        <v>7.831639301537674</v>
      </c>
      <c r="D8" s="1">
        <v>1.7908988503707901</v>
      </c>
      <c r="E8" s="1">
        <v>-1.3182181987441299</v>
      </c>
    </row>
    <row r="9" spans="1:5" x14ac:dyDescent="0.35">
      <c r="A9">
        <v>20170228</v>
      </c>
      <c r="B9" s="2">
        <f t="shared" si="0"/>
        <v>42794</v>
      </c>
      <c r="C9" s="1">
        <v>-1.1615425626443909</v>
      </c>
      <c r="D9" s="1">
        <v>1.7879343692308201</v>
      </c>
      <c r="E9" s="1">
        <v>0.14587379559632299</v>
      </c>
    </row>
    <row r="10" spans="1:5" x14ac:dyDescent="0.35">
      <c r="A10">
        <v>20170331</v>
      </c>
      <c r="B10" s="2">
        <f t="shared" si="0"/>
        <v>42825</v>
      </c>
      <c r="C10" s="1">
        <v>-4.165677749728502</v>
      </c>
      <c r="D10" s="1">
        <v>0.93747962194441103</v>
      </c>
      <c r="E10" s="1">
        <v>-2.0139910253895801</v>
      </c>
    </row>
    <row r="11" spans="1:5" x14ac:dyDescent="0.35">
      <c r="A11">
        <v>20170430</v>
      </c>
      <c r="B11" s="2">
        <f t="shared" si="0"/>
        <v>42855</v>
      </c>
      <c r="C11" s="1">
        <v>-2.8780703795150409</v>
      </c>
      <c r="D11" s="1">
        <v>0.158299209698716</v>
      </c>
      <c r="E11" s="1">
        <v>-1.9063197383907899</v>
      </c>
    </row>
    <row r="12" spans="1:5" x14ac:dyDescent="0.35">
      <c r="A12">
        <v>20170531</v>
      </c>
      <c r="B12" s="2">
        <f t="shared" si="0"/>
        <v>42886</v>
      </c>
      <c r="C12" s="1">
        <v>-5.466951025391376</v>
      </c>
      <c r="D12" s="1">
        <v>-0.26025313858148902</v>
      </c>
      <c r="E12" s="1">
        <v>-0.97585234310992197</v>
      </c>
    </row>
    <row r="13" spans="1:5" x14ac:dyDescent="0.35">
      <c r="A13">
        <v>20170630</v>
      </c>
      <c r="B13" s="2">
        <f t="shared" si="0"/>
        <v>42916</v>
      </c>
      <c r="C13" s="1">
        <v>5.7749368557859615</v>
      </c>
      <c r="D13" s="1">
        <v>-0.47895756643903498</v>
      </c>
      <c r="E13" s="1">
        <v>-0.50013659480482997</v>
      </c>
    </row>
    <row r="14" spans="1:5" x14ac:dyDescent="0.35">
      <c r="A14">
        <v>20170731</v>
      </c>
      <c r="B14" s="2">
        <f t="shared" si="0"/>
        <v>42947</v>
      </c>
      <c r="C14" s="1">
        <v>7.0546505517603775</v>
      </c>
      <c r="D14" s="1">
        <v>0.33465043626730601</v>
      </c>
      <c r="E14" s="1">
        <v>1.7954608972777</v>
      </c>
    </row>
    <row r="15" spans="1:5" x14ac:dyDescent="0.35">
      <c r="A15">
        <v>20170831</v>
      </c>
      <c r="B15" s="2">
        <f t="shared" si="0"/>
        <v>42978</v>
      </c>
      <c r="C15" s="1">
        <v>5.2492907827015989</v>
      </c>
      <c r="D15" s="1">
        <v>1.05738326809043</v>
      </c>
      <c r="E15" s="1">
        <v>1.4908277149462701</v>
      </c>
    </row>
    <row r="16" spans="1:5" x14ac:dyDescent="0.35">
      <c r="A16">
        <v>20170930</v>
      </c>
      <c r="B16" s="2">
        <f t="shared" si="0"/>
        <v>43008</v>
      </c>
      <c r="C16" s="1">
        <v>-7.564898323102776</v>
      </c>
      <c r="D16" s="1">
        <v>0.57792321231655197</v>
      </c>
      <c r="E16" s="1">
        <v>-1.01422462207417</v>
      </c>
    </row>
    <row r="17" spans="1:5" x14ac:dyDescent="0.35">
      <c r="A17">
        <v>20171031</v>
      </c>
      <c r="B17" s="2">
        <f t="shared" si="0"/>
        <v>43039</v>
      </c>
      <c r="C17" s="1">
        <v>-1.0127991096271605</v>
      </c>
      <c r="D17" s="1">
        <v>-0.15351224840549099</v>
      </c>
      <c r="E17" s="1">
        <v>-1.53641235787495</v>
      </c>
    </row>
    <row r="18" spans="1:5" x14ac:dyDescent="0.35">
      <c r="A18">
        <v>20171130</v>
      </c>
      <c r="B18" s="2">
        <f t="shared" si="0"/>
        <v>43069</v>
      </c>
      <c r="C18" s="1">
        <v>5.7619368862903864</v>
      </c>
      <c r="D18" s="1">
        <v>0.113560195317832</v>
      </c>
      <c r="E18" s="1">
        <v>0.51093344402756402</v>
      </c>
    </row>
    <row r="19" spans="1:5" x14ac:dyDescent="0.35">
      <c r="A19">
        <v>20171231</v>
      </c>
      <c r="B19" s="2">
        <f t="shared" si="0"/>
        <v>43100</v>
      </c>
      <c r="C19" s="1">
        <v>-0.27782305789634254</v>
      </c>
      <c r="D19" s="1">
        <v>0.12642870599424599</v>
      </c>
      <c r="E19" s="1">
        <v>-2.5208525522122098E-4</v>
      </c>
    </row>
    <row r="20" spans="1:5" x14ac:dyDescent="0.35">
      <c r="A20">
        <v>20180131</v>
      </c>
      <c r="B20" s="2">
        <f t="shared" si="0"/>
        <v>43131</v>
      </c>
      <c r="C20" s="1">
        <v>-0.30631462989942904</v>
      </c>
      <c r="D20" s="1">
        <v>0.11815001294770899</v>
      </c>
      <c r="E20" s="1">
        <v>-4.2151648011071199E-2</v>
      </c>
    </row>
    <row r="21" spans="1:5" x14ac:dyDescent="0.35">
      <c r="A21">
        <v>20180228</v>
      </c>
      <c r="B21" s="2">
        <f t="shared" si="0"/>
        <v>43159</v>
      </c>
      <c r="C21" s="1">
        <v>2.1137202902890229</v>
      </c>
      <c r="D21" s="1">
        <v>-6.9590467970859604E-2</v>
      </c>
      <c r="E21" s="1">
        <v>-0.37590645099645997</v>
      </c>
    </row>
    <row r="22" spans="1:5" x14ac:dyDescent="0.35">
      <c r="A22">
        <v>20180331</v>
      </c>
      <c r="B22" s="2">
        <f t="shared" si="0"/>
        <v>43190</v>
      </c>
      <c r="C22" s="1">
        <v>-7.2871215241659071</v>
      </c>
      <c r="D22" s="1">
        <v>-0.66548648478259098</v>
      </c>
      <c r="E22" s="1">
        <v>-1.2084083377159101</v>
      </c>
    </row>
    <row r="23" spans="1:5" x14ac:dyDescent="0.35">
      <c r="A23">
        <v>20180430</v>
      </c>
      <c r="B23" s="2">
        <f t="shared" si="0"/>
        <v>43220</v>
      </c>
      <c r="C23" s="1">
        <v>2.0549544054638158</v>
      </c>
      <c r="D23" s="1">
        <v>-0.81648858465775997</v>
      </c>
      <c r="E23" s="1">
        <v>-0.31429192083365998</v>
      </c>
    </row>
    <row r="24" spans="1:5" x14ac:dyDescent="0.35">
      <c r="A24">
        <v>20180531</v>
      </c>
      <c r="B24" s="2">
        <f t="shared" si="0"/>
        <v>43251</v>
      </c>
      <c r="C24" s="1">
        <v>2.2297646277577021</v>
      </c>
      <c r="D24" s="1">
        <v>-0.465329192509294</v>
      </c>
      <c r="E24" s="1">
        <v>0.70613706806486798</v>
      </c>
    </row>
    <row r="25" spans="1:5" x14ac:dyDescent="0.35">
      <c r="A25">
        <v>20180630</v>
      </c>
      <c r="B25" s="2">
        <f t="shared" si="0"/>
        <v>43281</v>
      </c>
      <c r="C25" s="1">
        <v>2.5261273745580404E-2</v>
      </c>
      <c r="D25" s="1">
        <v>-0.44808581491340699</v>
      </c>
      <c r="E25" s="1">
        <v>8.0033687340918293E-3</v>
      </c>
    </row>
    <row r="26" spans="1:5" x14ac:dyDescent="0.35">
      <c r="A26">
        <v>20180731</v>
      </c>
      <c r="B26" s="2">
        <f t="shared" si="0"/>
        <v>43312</v>
      </c>
      <c r="C26" s="1">
        <v>1.6213641972190773</v>
      </c>
      <c r="D26" s="1">
        <v>-0.57070034767451305</v>
      </c>
      <c r="E26" s="1">
        <v>-0.266535050829662</v>
      </c>
    </row>
    <row r="27" spans="1:5" x14ac:dyDescent="0.35">
      <c r="A27">
        <v>20180831</v>
      </c>
      <c r="B27" s="2">
        <f t="shared" si="0"/>
        <v>43343</v>
      </c>
      <c r="C27" s="1">
        <v>1.2553786727636851</v>
      </c>
      <c r="D27" s="1">
        <v>5.8610572283546103E-2</v>
      </c>
      <c r="E27" s="1">
        <v>1.37694376031593</v>
      </c>
    </row>
    <row r="28" spans="1:5" x14ac:dyDescent="0.35">
      <c r="A28">
        <v>20180930</v>
      </c>
      <c r="B28" s="2">
        <f t="shared" si="0"/>
        <v>43373</v>
      </c>
      <c r="C28" s="1">
        <v>0.5006942399124803</v>
      </c>
      <c r="D28" s="1">
        <v>-0.22345182816108899</v>
      </c>
      <c r="E28" s="1">
        <v>-0.53431991068387497</v>
      </c>
    </row>
    <row r="29" spans="1:5" x14ac:dyDescent="0.35">
      <c r="A29">
        <v>20181031</v>
      </c>
      <c r="B29" s="2">
        <f t="shared" si="0"/>
        <v>43404</v>
      </c>
      <c r="C29" s="1">
        <v>-9.7686231823490566E-3</v>
      </c>
      <c r="D29" s="1">
        <v>-5.1392078145837102E-3</v>
      </c>
      <c r="E29" s="1">
        <v>0.50098050202835598</v>
      </c>
    </row>
    <row r="30" spans="1:5" x14ac:dyDescent="0.35">
      <c r="A30">
        <v>20181130</v>
      </c>
      <c r="B30" s="2">
        <f t="shared" si="0"/>
        <v>43434</v>
      </c>
      <c r="C30" s="1">
        <v>-8.0801384488702119</v>
      </c>
      <c r="D30" s="1">
        <v>-1.13187345475225</v>
      </c>
      <c r="E30" s="1">
        <v>-2.1716548542841299</v>
      </c>
    </row>
    <row r="31" spans="1:5" x14ac:dyDescent="0.35">
      <c r="A31">
        <v>20181231</v>
      </c>
      <c r="B31" s="2">
        <f t="shared" si="0"/>
        <v>43465</v>
      </c>
      <c r="C31" s="1">
        <v>0.59063337458149512</v>
      </c>
      <c r="D31" s="1">
        <v>-1.3987551306628001</v>
      </c>
      <c r="E31" s="1">
        <v>-0.33314567710196602</v>
      </c>
    </row>
    <row r="32" spans="1:5" x14ac:dyDescent="0.35">
      <c r="A32">
        <v>20190131</v>
      </c>
      <c r="B32" s="2">
        <f t="shared" si="0"/>
        <v>43496</v>
      </c>
      <c r="C32" s="1">
        <v>6.8173070391921442</v>
      </c>
      <c r="D32" s="1">
        <v>-0.96946173134147995</v>
      </c>
      <c r="E32" s="1">
        <v>0.90730668659809599</v>
      </c>
    </row>
    <row r="33" spans="1:5" x14ac:dyDescent="0.35">
      <c r="A33">
        <v>20190228</v>
      </c>
      <c r="B33" s="2">
        <f t="shared" si="0"/>
        <v>43524</v>
      </c>
      <c r="C33" s="1">
        <v>1.5346135910805803</v>
      </c>
      <c r="D33" s="1">
        <v>-0.47896217045180101</v>
      </c>
      <c r="E33" s="1">
        <v>0.97558043394435201</v>
      </c>
    </row>
    <row r="34" spans="1:5" x14ac:dyDescent="0.35">
      <c r="A34">
        <v>20190331</v>
      </c>
      <c r="B34" s="2">
        <f t="shared" si="0"/>
        <v>43555</v>
      </c>
      <c r="C34" s="1">
        <v>-1.5385578890234175</v>
      </c>
      <c r="D34" s="1">
        <v>-0.61058573925057602</v>
      </c>
      <c r="E34" s="1">
        <v>-0.13915226385708199</v>
      </c>
    </row>
    <row r="35" spans="1:5" x14ac:dyDescent="0.35">
      <c r="A35">
        <v>20190430</v>
      </c>
      <c r="B35" s="2">
        <f t="shared" si="0"/>
        <v>43585</v>
      </c>
      <c r="C35" s="1">
        <v>2.8234213223082172</v>
      </c>
      <c r="D35" s="1">
        <v>-0.32156811120507101</v>
      </c>
      <c r="E35" s="1">
        <v>0.48593898376790301</v>
      </c>
    </row>
    <row r="36" spans="1:5" x14ac:dyDescent="0.35">
      <c r="A36">
        <v>20190531</v>
      </c>
      <c r="B36" s="2">
        <f t="shared" si="0"/>
        <v>43616</v>
      </c>
      <c r="C36" s="1">
        <v>-4.3301945150875376E-2</v>
      </c>
      <c r="D36" s="1">
        <v>-0.33024053750033999</v>
      </c>
      <c r="E36" s="1">
        <v>-4.9042126795721702E-2</v>
      </c>
    </row>
    <row r="37" spans="1:5" x14ac:dyDescent="0.35">
      <c r="A37">
        <v>20190630</v>
      </c>
      <c r="B37" s="2">
        <f t="shared" si="0"/>
        <v>43646</v>
      </c>
      <c r="C37" s="1">
        <v>2.1447186560955123</v>
      </c>
      <c r="D37" s="1">
        <v>-0.53464232244156695</v>
      </c>
      <c r="E37" s="1">
        <v>-0.33901676500619099</v>
      </c>
    </row>
    <row r="38" spans="1:5" x14ac:dyDescent="0.35">
      <c r="A38">
        <v>20190731</v>
      </c>
      <c r="B38" s="2">
        <f t="shared" si="0"/>
        <v>43677</v>
      </c>
      <c r="C38" s="1">
        <v>0.552017556851081</v>
      </c>
      <c r="D38" s="1">
        <v>-0.144688594848736</v>
      </c>
      <c r="E38" s="1">
        <v>0.61241601915917498</v>
      </c>
    </row>
    <row r="39" spans="1:5" x14ac:dyDescent="0.35">
      <c r="A39">
        <v>20190831</v>
      </c>
      <c r="B39" s="2">
        <f t="shared" si="0"/>
        <v>43708</v>
      </c>
      <c r="C39" s="1">
        <v>-2.1785413012332278</v>
      </c>
      <c r="D39" s="1">
        <v>-0.73984474972242897</v>
      </c>
      <c r="E39" s="1">
        <v>-1.0954230877607101</v>
      </c>
    </row>
    <row r="40" spans="1:5" x14ac:dyDescent="0.35">
      <c r="A40">
        <v>20190930</v>
      </c>
      <c r="B40" s="2">
        <f t="shared" si="0"/>
        <v>43738</v>
      </c>
      <c r="C40" s="1">
        <v>0.6262319316688636</v>
      </c>
      <c r="D40" s="1">
        <v>-0.35204775841410002</v>
      </c>
      <c r="E40" s="1">
        <v>0.55298462745378196</v>
      </c>
    </row>
    <row r="41" spans="1:5" x14ac:dyDescent="0.35">
      <c r="A41">
        <v>20191031</v>
      </c>
      <c r="B41" s="2">
        <f t="shared" si="0"/>
        <v>43769</v>
      </c>
      <c r="C41" s="1">
        <v>-0.50670965196868423</v>
      </c>
      <c r="D41" s="1">
        <v>-0.70639070903222201</v>
      </c>
      <c r="E41" s="1">
        <v>-0.66728134910076997</v>
      </c>
    </row>
    <row r="42" spans="1:5" x14ac:dyDescent="0.35">
      <c r="A42">
        <v>20191130</v>
      </c>
      <c r="B42" s="2">
        <f t="shared" si="0"/>
        <v>43799</v>
      </c>
      <c r="C42" s="1">
        <v>0.71300638492775015</v>
      </c>
      <c r="D42" s="1">
        <v>-0.66609751758550795</v>
      </c>
      <c r="E42" s="1">
        <v>-3.4232049850852798E-2</v>
      </c>
    </row>
    <row r="43" spans="1:5" x14ac:dyDescent="0.35">
      <c r="A43">
        <v>20191231</v>
      </c>
      <c r="B43" s="2">
        <f t="shared" si="0"/>
        <v>43830</v>
      </c>
      <c r="C43" s="1">
        <v>3.9524860003393947</v>
      </c>
      <c r="D43" s="1">
        <v>-6.02524837851195E-2</v>
      </c>
      <c r="E43" s="1">
        <v>0.82545714686069005</v>
      </c>
    </row>
    <row r="44" spans="1:5" x14ac:dyDescent="0.35">
      <c r="A44">
        <v>20200131</v>
      </c>
      <c r="B44" s="2">
        <f t="shared" si="0"/>
        <v>43861</v>
      </c>
      <c r="C44" s="1">
        <v>-2.9331104552459131</v>
      </c>
      <c r="D44" s="1">
        <v>6.5348814447360598E-2</v>
      </c>
      <c r="E44" s="1">
        <v>-1.6024581603411601E-2</v>
      </c>
    </row>
    <row r="45" spans="1:5" x14ac:dyDescent="0.35">
      <c r="A45">
        <v>20200229</v>
      </c>
      <c r="B45" s="2">
        <f t="shared" si="0"/>
        <v>43890</v>
      </c>
      <c r="C45" s="1">
        <v>-7.6243138521149501</v>
      </c>
      <c r="D45" s="1">
        <v>-1.66486136032051</v>
      </c>
      <c r="E45" s="1">
        <v>-2.2062505541466702</v>
      </c>
    </row>
    <row r="46" spans="1:5" x14ac:dyDescent="0.35">
      <c r="A46">
        <v>20200331</v>
      </c>
      <c r="B46" s="2">
        <f t="shared" si="0"/>
        <v>43921</v>
      </c>
      <c r="C46" s="1">
        <v>-6.9158619886107164</v>
      </c>
      <c r="D46" s="1">
        <v>-3</v>
      </c>
      <c r="E46" s="1">
        <v>-1.8873217232542701</v>
      </c>
    </row>
    <row r="47" spans="1:5" x14ac:dyDescent="0.35">
      <c r="A47">
        <v>20200430</v>
      </c>
      <c r="B47" s="2">
        <f t="shared" si="0"/>
        <v>43951</v>
      </c>
      <c r="C47" s="1">
        <v>3.2090749070995406</v>
      </c>
      <c r="D47" s="1">
        <v>-3</v>
      </c>
      <c r="E47" s="1">
        <v>0.25998735858474897</v>
      </c>
    </row>
    <row r="48" spans="1:5" x14ac:dyDescent="0.35">
      <c r="A48">
        <v>20200531</v>
      </c>
      <c r="B48" s="2">
        <f t="shared" si="0"/>
        <v>43982</v>
      </c>
      <c r="C48" s="1">
        <v>6.0844254777263185</v>
      </c>
      <c r="D48" s="1">
        <v>-1.5319846365655601</v>
      </c>
      <c r="E48" s="1">
        <v>1.43318057484827</v>
      </c>
    </row>
    <row r="49" spans="1:5" x14ac:dyDescent="0.35">
      <c r="A49">
        <v>20200630</v>
      </c>
      <c r="B49" s="2">
        <f t="shared" si="0"/>
        <v>44012</v>
      </c>
      <c r="C49" s="1">
        <v>1.3811680980893692</v>
      </c>
      <c r="D49" s="1">
        <v>-0.28086350238816099</v>
      </c>
      <c r="E49" s="1">
        <v>1.45873251157836</v>
      </c>
    </row>
    <row r="50" spans="1:5" x14ac:dyDescent="0.35">
      <c r="A50">
        <v>20200731</v>
      </c>
      <c r="B50" s="2">
        <f t="shared" si="0"/>
        <v>44043</v>
      </c>
      <c r="C50" s="1">
        <v>4.2054592739292573</v>
      </c>
      <c r="D50" s="1">
        <v>0.309303208267039</v>
      </c>
      <c r="E50" s="1">
        <v>0.74107258944084997</v>
      </c>
    </row>
    <row r="51" spans="1:5" x14ac:dyDescent="0.35">
      <c r="A51">
        <v>20200831</v>
      </c>
      <c r="B51" s="2">
        <f t="shared" si="0"/>
        <v>44074</v>
      </c>
      <c r="C51" s="1">
        <v>3.0428666116574465</v>
      </c>
      <c r="D51" s="1">
        <v>0.71996415311991702</v>
      </c>
      <c r="E51" s="1">
        <v>0.48667267613689602</v>
      </c>
    </row>
    <row r="52" spans="1:5" x14ac:dyDescent="0.35">
      <c r="A52">
        <v>20200930</v>
      </c>
      <c r="B52" s="2">
        <f t="shared" si="0"/>
        <v>44104</v>
      </c>
      <c r="C52" s="1">
        <v>-6.3352871292327695</v>
      </c>
      <c r="D52" s="1">
        <v>-1.0046689716318301E-2</v>
      </c>
      <c r="E52" s="1">
        <v>-0.88020562346410602</v>
      </c>
    </row>
    <row r="53" spans="1:5" x14ac:dyDescent="0.35">
      <c r="A53">
        <v>20201031</v>
      </c>
      <c r="B53" s="2">
        <f t="shared" si="0"/>
        <v>44135</v>
      </c>
      <c r="C53" s="1">
        <v>-0.22844969551719663</v>
      </c>
      <c r="D53" s="1">
        <v>-3.2787286229983101E-2</v>
      </c>
      <c r="E53" s="1">
        <v>-4.5654048263419303E-2</v>
      </c>
    </row>
    <row r="54" spans="1:5" x14ac:dyDescent="0.35">
      <c r="A54">
        <v>20201130</v>
      </c>
      <c r="B54" s="2">
        <f t="shared" si="0"/>
        <v>44165</v>
      </c>
      <c r="C54" s="1">
        <v>8.2669007901668081</v>
      </c>
      <c r="D54" s="1">
        <v>0.52713001646422597</v>
      </c>
      <c r="E54" s="1">
        <v>0.60432047243081999</v>
      </c>
    </row>
    <row r="55" spans="1:5" x14ac:dyDescent="0.35">
      <c r="A55">
        <v>20201231</v>
      </c>
      <c r="B55" s="2">
        <f t="shared" si="0"/>
        <v>44196</v>
      </c>
      <c r="C55" s="1">
        <v>6.7157546465989704</v>
      </c>
      <c r="D55" s="1">
        <v>2.7269334863240502</v>
      </c>
      <c r="E55" s="1">
        <v>2.4608603075629101</v>
      </c>
    </row>
    <row r="56" spans="1:5" x14ac:dyDescent="0.35">
      <c r="A56">
        <v>20210131</v>
      </c>
      <c r="B56" s="2">
        <f t="shared" si="0"/>
        <v>44227</v>
      </c>
      <c r="C56" s="1">
        <v>0.45775910806884479</v>
      </c>
      <c r="D56" s="1">
        <v>3</v>
      </c>
      <c r="E56" s="1">
        <v>0.70818167862580705</v>
      </c>
    </row>
    <row r="57" spans="1:5" x14ac:dyDescent="0.35">
      <c r="A57">
        <v>20210228</v>
      </c>
      <c r="B57" s="2">
        <f t="shared" si="0"/>
        <v>44255</v>
      </c>
      <c r="C57" s="1">
        <v>10.686838124054464</v>
      </c>
      <c r="D57" s="1">
        <v>2.8794412794567301</v>
      </c>
      <c r="E57" s="1">
        <v>0.22833586192585401</v>
      </c>
    </row>
    <row r="58" spans="1:5" x14ac:dyDescent="0.35">
      <c r="A58">
        <v>20210331</v>
      </c>
      <c r="B58" s="2">
        <f t="shared" si="0"/>
        <v>44286</v>
      </c>
      <c r="C58" s="1">
        <v>-4.6760701984582598</v>
      </c>
      <c r="D58" s="1">
        <v>2.6124870500563899</v>
      </c>
      <c r="E58" s="1">
        <v>0.10933568825625201</v>
      </c>
    </row>
    <row r="59" spans="1:5" x14ac:dyDescent="0.35">
      <c r="A59">
        <v>20210430</v>
      </c>
      <c r="B59" s="2">
        <f t="shared" si="0"/>
        <v>44316</v>
      </c>
      <c r="C59" s="1">
        <v>6.7608412624672543</v>
      </c>
      <c r="D59" s="1">
        <v>2.50255061382477</v>
      </c>
      <c r="E59" s="1">
        <v>0.25274211103508398</v>
      </c>
    </row>
    <row r="60" spans="1:5" x14ac:dyDescent="0.35">
      <c r="A60">
        <v>20210531</v>
      </c>
      <c r="B60" s="2">
        <f t="shared" si="0"/>
        <v>44347</v>
      </c>
      <c r="C60" s="1">
        <v>0.92884579225871455</v>
      </c>
      <c r="D60" s="1">
        <v>2.8336541703731402</v>
      </c>
      <c r="E60" s="1">
        <v>0.94448625543907605</v>
      </c>
    </row>
    <row r="61" spans="1:5" x14ac:dyDescent="0.35">
      <c r="A61">
        <v>20210630</v>
      </c>
      <c r="B61" s="2">
        <f t="shared" si="0"/>
        <v>44377</v>
      </c>
      <c r="C61" s="1">
        <v>1.4680051523893622</v>
      </c>
      <c r="D61" s="1">
        <v>2.0616204891805499</v>
      </c>
      <c r="E61" s="1">
        <v>-0.91123109380408096</v>
      </c>
    </row>
    <row r="62" spans="1:5" x14ac:dyDescent="0.35">
      <c r="A62">
        <v>20210731</v>
      </c>
      <c r="B62" s="2">
        <f t="shared" si="0"/>
        <v>44408</v>
      </c>
      <c r="C62" s="1">
        <v>3.4154811364303983</v>
      </c>
      <c r="D62" s="1">
        <v>1.96110630289526</v>
      </c>
      <c r="E62" s="1">
        <v>4.1676642301794298E-2</v>
      </c>
    </row>
    <row r="63" spans="1:5" x14ac:dyDescent="0.35">
      <c r="A63">
        <v>20210831</v>
      </c>
      <c r="B63" s="2">
        <f t="shared" si="0"/>
        <v>44439</v>
      </c>
      <c r="C63" s="1">
        <v>-1.7794190004210231</v>
      </c>
      <c r="D63" s="1">
        <v>1.1329766461442501</v>
      </c>
      <c r="E63" s="1">
        <v>-1.5145088935609601</v>
      </c>
    </row>
    <row r="64" spans="1:5" x14ac:dyDescent="0.35">
      <c r="A64">
        <v>20210930</v>
      </c>
      <c r="B64" s="2">
        <f t="shared" si="0"/>
        <v>44469</v>
      </c>
      <c r="C64" s="1">
        <v>4.4392800888269246</v>
      </c>
      <c r="D64" s="1">
        <v>1.2463413448371501</v>
      </c>
      <c r="E64" s="1">
        <v>0.35425587299051298</v>
      </c>
    </row>
    <row r="65" spans="1:5" x14ac:dyDescent="0.35">
      <c r="A65">
        <v>20211031</v>
      </c>
      <c r="B65" s="2">
        <f t="shared" si="0"/>
        <v>44500</v>
      </c>
      <c r="C65" s="1">
        <v>-1.9586512453580229</v>
      </c>
      <c r="D65" s="1">
        <v>1.8794117705194799</v>
      </c>
      <c r="E65" s="1">
        <v>1.55259476316203</v>
      </c>
    </row>
    <row r="66" spans="1:5" x14ac:dyDescent="0.35">
      <c r="A66">
        <v>20211130</v>
      </c>
      <c r="B66" s="2">
        <f t="shared" si="0"/>
        <v>44530</v>
      </c>
      <c r="C66" s="1">
        <v>-4.8802138498007741</v>
      </c>
      <c r="D66" s="1">
        <v>0.121607169789024</v>
      </c>
      <c r="E66" s="1">
        <v>-3</v>
      </c>
    </row>
    <row r="67" spans="1:5" x14ac:dyDescent="0.35">
      <c r="A67">
        <v>20211231</v>
      </c>
      <c r="B67" s="2">
        <f t="shared" ref="B67:B118" si="1">DATE(LEFT(A67,4),MID(A67,5,2),RIGHT(A67,2))</f>
        <v>44561</v>
      </c>
      <c r="C67" s="1">
        <v>5.4895701878108438</v>
      </c>
      <c r="D67" s="1">
        <v>0.18006464990886201</v>
      </c>
      <c r="E67" s="1">
        <v>0.17579198474063701</v>
      </c>
    </row>
    <row r="68" spans="1:5" x14ac:dyDescent="0.35">
      <c r="A68">
        <v>20220131</v>
      </c>
      <c r="B68" s="2">
        <f t="shared" si="1"/>
        <v>44592</v>
      </c>
      <c r="C68" s="1">
        <v>7.4004634400116398</v>
      </c>
      <c r="D68" s="1">
        <v>1.07835530363031</v>
      </c>
      <c r="E68" s="1">
        <v>1.8694238807833501</v>
      </c>
    </row>
    <row r="69" spans="1:5" x14ac:dyDescent="0.35">
      <c r="A69">
        <v>20220228</v>
      </c>
      <c r="B69" s="2">
        <f t="shared" si="1"/>
        <v>44620</v>
      </c>
      <c r="C69" s="1">
        <v>3.6537651518697034</v>
      </c>
      <c r="D69" s="1">
        <v>1.6267541164996</v>
      </c>
      <c r="E69" s="1">
        <v>1.13920322404733</v>
      </c>
    </row>
    <row r="70" spans="1:5" x14ac:dyDescent="0.35">
      <c r="A70">
        <v>20220331</v>
      </c>
      <c r="B70" s="2">
        <f t="shared" si="1"/>
        <v>44651</v>
      </c>
      <c r="C70" s="1">
        <v>10.487770739173818</v>
      </c>
      <c r="D70" s="1">
        <v>3</v>
      </c>
      <c r="E70" s="1">
        <v>3</v>
      </c>
    </row>
    <row r="71" spans="1:5" x14ac:dyDescent="0.35">
      <c r="A71">
        <v>20220430</v>
      </c>
      <c r="B71" s="2">
        <f t="shared" si="1"/>
        <v>44681</v>
      </c>
      <c r="C71" s="1">
        <v>1.663227151059421</v>
      </c>
      <c r="D71" s="1">
        <v>2.67641087286274</v>
      </c>
      <c r="E71" s="1">
        <v>-0.508533053339151</v>
      </c>
    </row>
    <row r="72" spans="1:5" x14ac:dyDescent="0.35">
      <c r="A72">
        <v>20220531</v>
      </c>
      <c r="B72" s="2">
        <f t="shared" si="1"/>
        <v>44712</v>
      </c>
      <c r="C72" s="1">
        <v>0.99969852276151627</v>
      </c>
      <c r="D72" s="1">
        <v>1.66066390896098</v>
      </c>
      <c r="E72" s="1">
        <v>-1.7439874014529</v>
      </c>
    </row>
    <row r="73" spans="1:5" x14ac:dyDescent="0.35">
      <c r="A73">
        <v>20220630</v>
      </c>
      <c r="B73" s="2">
        <f t="shared" si="1"/>
        <v>44742</v>
      </c>
      <c r="C73" s="1">
        <v>-8.2738336875452632</v>
      </c>
      <c r="D73" s="1">
        <v>1.0109093899578301</v>
      </c>
      <c r="E73" s="1">
        <v>-1.3147380280654799</v>
      </c>
    </row>
    <row r="74" spans="1:5" x14ac:dyDescent="0.35">
      <c r="A74">
        <v>20220731</v>
      </c>
      <c r="B74" s="2">
        <f t="shared" si="1"/>
        <v>44773</v>
      </c>
      <c r="C74" s="1">
        <v>-4.7645494266139625</v>
      </c>
      <c r="D74" s="1">
        <v>-1.36061562597915</v>
      </c>
      <c r="E74" s="1">
        <v>-3</v>
      </c>
    </row>
    <row r="75" spans="1:5" x14ac:dyDescent="0.35">
      <c r="A75">
        <v>20220831</v>
      </c>
      <c r="B75" s="2">
        <f t="shared" si="1"/>
        <v>44804</v>
      </c>
      <c r="C75" s="1">
        <v>0.1535363475661855</v>
      </c>
      <c r="D75" s="1">
        <v>-0.62848621609542898</v>
      </c>
      <c r="E75" s="1">
        <v>1.2444446712058099</v>
      </c>
    </row>
    <row r="76" spans="1:5" x14ac:dyDescent="0.35">
      <c r="A76">
        <v>20220930</v>
      </c>
      <c r="B76" s="2">
        <f t="shared" si="1"/>
        <v>44834</v>
      </c>
      <c r="C76" s="1">
        <v>1.0053268677017169</v>
      </c>
      <c r="D76" s="1">
        <v>-0.70264432780007802</v>
      </c>
      <c r="E76" s="1">
        <v>-0.11571911609981</v>
      </c>
    </row>
    <row r="77" spans="1:5" x14ac:dyDescent="0.35">
      <c r="A77">
        <v>20221031</v>
      </c>
      <c r="B77" s="2">
        <f t="shared" si="1"/>
        <v>44865</v>
      </c>
      <c r="C77" s="1">
        <v>-3.5412697769310664</v>
      </c>
      <c r="D77" s="1">
        <v>-0.62220344512175596</v>
      </c>
      <c r="E77" s="1">
        <v>0.13930629436603301</v>
      </c>
    </row>
    <row r="78" spans="1:5" x14ac:dyDescent="0.35">
      <c r="A78">
        <v>20221130</v>
      </c>
      <c r="B78" s="2">
        <f t="shared" si="1"/>
        <v>44895</v>
      </c>
      <c r="C78" s="1">
        <v>6.293422232182877</v>
      </c>
      <c r="D78" s="1">
        <v>-0.32937685323534499</v>
      </c>
      <c r="E78" s="1">
        <v>0.54503386414674604</v>
      </c>
    </row>
    <row r="79" spans="1:5" x14ac:dyDescent="0.35">
      <c r="A79">
        <v>20221231</v>
      </c>
      <c r="B79" s="2">
        <f t="shared" si="1"/>
        <v>44926</v>
      </c>
      <c r="C79" s="1">
        <v>4.5731479651226481</v>
      </c>
      <c r="D79" s="1">
        <v>-9.4327728835416597E-2</v>
      </c>
      <c r="E79" s="1">
        <v>0.422768145657899</v>
      </c>
    </row>
    <row r="80" spans="1:5" x14ac:dyDescent="0.35">
      <c r="A80">
        <v>20230131</v>
      </c>
      <c r="B80" s="2">
        <f t="shared" si="1"/>
        <v>44957</v>
      </c>
      <c r="C80" s="1">
        <v>1.0068636428553601</v>
      </c>
      <c r="D80" s="1">
        <v>9.7850667194553598E-2</v>
      </c>
      <c r="E80" s="1">
        <v>0.32359986872959101</v>
      </c>
    </row>
    <row r="81" spans="1:5" x14ac:dyDescent="0.35">
      <c r="A81">
        <v>20230228</v>
      </c>
      <c r="B81" s="2">
        <f t="shared" si="1"/>
        <v>44985</v>
      </c>
      <c r="C81" s="1">
        <v>-0.82923360350657394</v>
      </c>
      <c r="D81" s="1">
        <v>3.1274992467713301E-3</v>
      </c>
      <c r="E81" s="1">
        <v>-0.182118139875829</v>
      </c>
    </row>
    <row r="82" spans="1:5" x14ac:dyDescent="0.35">
      <c r="A82">
        <v>20230331</v>
      </c>
      <c r="B82" s="2">
        <f t="shared" si="1"/>
        <v>45016</v>
      </c>
      <c r="C82" s="1">
        <v>-1.5821762996448219</v>
      </c>
      <c r="D82" s="1">
        <v>-0.436472514601279</v>
      </c>
      <c r="E82" s="1">
        <v>-0.73985565159274003</v>
      </c>
    </row>
    <row r="83" spans="1:5" x14ac:dyDescent="0.35">
      <c r="A83">
        <v>20230430</v>
      </c>
      <c r="B83" s="2">
        <f t="shared" si="1"/>
        <v>45046</v>
      </c>
      <c r="C83" s="1">
        <v>-4.1065889491086356</v>
      </c>
      <c r="D83" s="1">
        <v>-0.70196669869955697</v>
      </c>
      <c r="E83" s="1">
        <v>-0.33489986920324899</v>
      </c>
    </row>
    <row r="84" spans="1:5" x14ac:dyDescent="0.35">
      <c r="A84">
        <v>20230531</v>
      </c>
      <c r="B84" s="2">
        <f t="shared" si="1"/>
        <v>45077</v>
      </c>
      <c r="C84" s="1">
        <v>-5.1782207253241346</v>
      </c>
      <c r="D84" s="1">
        <v>-1.8593645779038599</v>
      </c>
      <c r="E84" s="1">
        <v>-1.68652054397386</v>
      </c>
    </row>
    <row r="85" spans="1:5" x14ac:dyDescent="0.35">
      <c r="A85">
        <v>20230630</v>
      </c>
      <c r="B85" s="2">
        <f t="shared" si="1"/>
        <v>45107</v>
      </c>
      <c r="C85" s="1">
        <v>7.6657419729714515</v>
      </c>
      <c r="D85" s="1">
        <v>-1.3238062725286801</v>
      </c>
      <c r="E85" s="1">
        <v>0.82507718119704399</v>
      </c>
    </row>
    <row r="86" spans="1:5" x14ac:dyDescent="0.35">
      <c r="A86">
        <v>20230731</v>
      </c>
      <c r="B86" s="2">
        <f t="shared" si="1"/>
        <v>45138</v>
      </c>
      <c r="C86" s="1">
        <v>6.4923421090427924</v>
      </c>
      <c r="D86" s="1">
        <v>-0.25019792986059403</v>
      </c>
      <c r="E86" s="1">
        <v>1.6418145555083301</v>
      </c>
    </row>
    <row r="87" spans="1:5" x14ac:dyDescent="0.35">
      <c r="A87">
        <v>20230831</v>
      </c>
      <c r="B87" s="2">
        <f t="shared" si="1"/>
        <v>45169</v>
      </c>
      <c r="C87" s="1">
        <v>4.2651626614353289</v>
      </c>
      <c r="D87" s="1">
        <v>0.21262443975329301</v>
      </c>
      <c r="E87" s="1">
        <v>0.70298087233367001</v>
      </c>
    </row>
    <row r="88" spans="1:5" x14ac:dyDescent="0.35">
      <c r="A88">
        <v>20230930</v>
      </c>
      <c r="B88" s="2">
        <f t="shared" si="1"/>
        <v>45199</v>
      </c>
      <c r="C88" s="1">
        <v>1.2994088963451889</v>
      </c>
      <c r="D88" s="1">
        <v>0.87552662438439299</v>
      </c>
      <c r="E88" s="1">
        <v>0.97537935215446703</v>
      </c>
    </row>
    <row r="89" spans="1:5" x14ac:dyDescent="0.35">
      <c r="A89">
        <v>20231031</v>
      </c>
      <c r="B89" s="2">
        <f t="shared" si="1"/>
        <v>45230</v>
      </c>
      <c r="C89" s="1">
        <v>-1.9540999338314657</v>
      </c>
      <c r="D89" s="1">
        <v>5.6058512706354598E-2</v>
      </c>
      <c r="E89" s="1">
        <v>-1.17759493993707</v>
      </c>
    </row>
    <row r="90" spans="1:5" x14ac:dyDescent="0.35">
      <c r="A90">
        <v>20231130</v>
      </c>
      <c r="B90" s="2">
        <f t="shared" si="1"/>
        <v>45260</v>
      </c>
      <c r="C90" s="1">
        <v>0.91364388016466069</v>
      </c>
      <c r="D90" s="1">
        <v>5.3371731629284702E-4</v>
      </c>
      <c r="E90" s="1">
        <v>-6.9107844126559098E-2</v>
      </c>
    </row>
    <row r="91" spans="1:5" x14ac:dyDescent="0.35">
      <c r="A91">
        <v>20231231</v>
      </c>
      <c r="B91" s="2">
        <f t="shared" si="1"/>
        <v>45291</v>
      </c>
      <c r="C91" s="1">
        <v>-1.1177335586008308</v>
      </c>
      <c r="D91" s="1">
        <v>-0.39993490480499999</v>
      </c>
      <c r="E91" s="1">
        <v>-0.55800857389537495</v>
      </c>
    </row>
    <row r="92" spans="1:5" x14ac:dyDescent="0.35">
      <c r="A92">
        <v>20240131</v>
      </c>
      <c r="B92" s="2">
        <f t="shared" si="1"/>
        <v>45322</v>
      </c>
      <c r="C92" s="1">
        <v>-0.3844358838465789</v>
      </c>
      <c r="D92" s="1">
        <v>-0.65164047324471197</v>
      </c>
      <c r="E92" s="1">
        <v>-0.38192284081463901</v>
      </c>
    </row>
    <row r="93" spans="1:5" x14ac:dyDescent="0.35">
      <c r="A93">
        <v>20240229</v>
      </c>
      <c r="B93" s="2">
        <f t="shared" si="1"/>
        <v>45351</v>
      </c>
      <c r="C93" s="1">
        <v>0.24735375159807838</v>
      </c>
      <c r="D93" s="1">
        <v>-0.78542179366959497</v>
      </c>
      <c r="E93" s="1">
        <v>-0.23326552780577101</v>
      </c>
    </row>
    <row r="94" spans="1:5" x14ac:dyDescent="0.35">
      <c r="A94">
        <v>20240331</v>
      </c>
      <c r="B94" s="2">
        <f t="shared" si="1"/>
        <v>45382</v>
      </c>
      <c r="C94" s="1">
        <v>0.37625401502638933</v>
      </c>
      <c r="D94" s="1">
        <v>-0.54137356624219002</v>
      </c>
      <c r="E94" s="1">
        <v>0.270466993551223</v>
      </c>
    </row>
    <row r="95" spans="1:5" x14ac:dyDescent="0.35">
      <c r="A95">
        <v>20240430</v>
      </c>
      <c r="B95" s="2">
        <f t="shared" si="1"/>
        <v>45412</v>
      </c>
      <c r="C95" s="1">
        <v>5.8286214828815019</v>
      </c>
      <c r="D95" s="1">
        <v>0.14727612239681601</v>
      </c>
      <c r="E95" s="1">
        <v>0.904471747965367</v>
      </c>
    </row>
    <row r="96" spans="1:5" x14ac:dyDescent="0.35">
      <c r="A96">
        <v>20240531</v>
      </c>
      <c r="B96" s="2">
        <f t="shared" si="1"/>
        <v>45443</v>
      </c>
      <c r="C96" s="1">
        <v>1.6818847847403617</v>
      </c>
      <c r="D96" s="1">
        <v>0.47969991780482502</v>
      </c>
      <c r="E96" s="1">
        <v>0.38490349989842398</v>
      </c>
    </row>
    <row r="97" spans="1:5" x14ac:dyDescent="0.35">
      <c r="A97">
        <v>20240630</v>
      </c>
      <c r="B97" s="2">
        <f t="shared" si="1"/>
        <v>45473</v>
      </c>
      <c r="C97" s="1">
        <v>-2.8981893649943857</v>
      </c>
      <c r="D97" s="1">
        <v>-0.28931266448499199</v>
      </c>
      <c r="E97" s="1">
        <v>-1.19151175111833</v>
      </c>
    </row>
    <row r="98" spans="1:5" x14ac:dyDescent="0.35">
      <c r="A98">
        <v>20240731</v>
      </c>
      <c r="B98" s="2">
        <f t="shared" si="1"/>
        <v>45504</v>
      </c>
      <c r="C98" s="1">
        <v>-5.1865809725924912</v>
      </c>
      <c r="D98" s="1">
        <v>-0.88036058336195999</v>
      </c>
      <c r="E98" s="1">
        <v>-0.89249884970472004</v>
      </c>
    </row>
    <row r="99" spans="1:5" x14ac:dyDescent="0.35">
      <c r="A99">
        <v>20240831</v>
      </c>
      <c r="B99" s="2">
        <f t="shared" si="1"/>
        <v>45535</v>
      </c>
      <c r="C99" s="1">
        <v>-1.5078679161870778</v>
      </c>
      <c r="D99" s="1">
        <v>-2.10321956332771</v>
      </c>
      <c r="E99" s="1">
        <v>-1.77304849548951</v>
      </c>
    </row>
    <row r="100" spans="1:5" x14ac:dyDescent="0.35">
      <c r="A100">
        <v>20240930</v>
      </c>
      <c r="B100" s="2">
        <f t="shared" si="1"/>
        <v>45565</v>
      </c>
      <c r="C100" s="1">
        <v>4.5977104453349682</v>
      </c>
      <c r="D100" s="1">
        <v>-2.08041035509576</v>
      </c>
      <c r="E100" s="1">
        <v>-0.17978023095877499</v>
      </c>
    </row>
    <row r="101" spans="1:5" x14ac:dyDescent="0.35">
      <c r="A101">
        <v>20241031</v>
      </c>
      <c r="B101" s="2">
        <f t="shared" si="1"/>
        <v>45596</v>
      </c>
      <c r="C101" s="1">
        <v>-1.4064414865444852</v>
      </c>
      <c r="D101" s="1">
        <v>-0.72983566281327905</v>
      </c>
      <c r="E101" s="1">
        <v>1.8180335125732601</v>
      </c>
    </row>
    <row r="102" spans="1:5" x14ac:dyDescent="0.35">
      <c r="A102">
        <v>20241130</v>
      </c>
      <c r="B102" s="2">
        <f t="shared" si="1"/>
        <v>45626</v>
      </c>
      <c r="C102" s="1">
        <v>-1.0841904254026091</v>
      </c>
      <c r="D102" s="1">
        <v>-0.86260573734226098</v>
      </c>
      <c r="E102" s="1">
        <v>-0.25661061303611798</v>
      </c>
    </row>
    <row r="103" spans="1:5" x14ac:dyDescent="0.35">
      <c r="A103">
        <v>20241231</v>
      </c>
      <c r="B103" s="2">
        <f t="shared" si="1"/>
        <v>45657</v>
      </c>
      <c r="C103" s="1">
        <v>-1.0374052579837034</v>
      </c>
      <c r="D103" s="1">
        <v>-1.02787296888212</v>
      </c>
      <c r="E103" s="1">
        <v>-0.26982952032570001</v>
      </c>
    </row>
    <row r="104" spans="1:5" x14ac:dyDescent="0.35">
      <c r="A104">
        <v>20250131</v>
      </c>
      <c r="B104" s="2">
        <f t="shared" si="1"/>
        <v>45688</v>
      </c>
      <c r="C104" s="1">
        <v>2.5435915512703966</v>
      </c>
      <c r="D104" s="1">
        <v>-0.75718868122971095</v>
      </c>
      <c r="E104" s="1">
        <v>0.39362558757338401</v>
      </c>
    </row>
    <row r="105" spans="1:5" x14ac:dyDescent="0.35">
      <c r="A105">
        <v>20250228</v>
      </c>
      <c r="B105" s="2">
        <f t="shared" si="1"/>
        <v>45716</v>
      </c>
      <c r="C105" s="1">
        <v>-0.27539385227169921</v>
      </c>
      <c r="D105" s="1">
        <v>-0.41195843974973601</v>
      </c>
      <c r="E105" s="1">
        <v>0.50728270642592799</v>
      </c>
    </row>
    <row r="106" spans="1:5" x14ac:dyDescent="0.35">
      <c r="A106">
        <v>20250331</v>
      </c>
      <c r="B106" s="2">
        <f t="shared" si="1"/>
        <v>45747</v>
      </c>
      <c r="C106" s="1">
        <v>-0.72661893047961668</v>
      </c>
      <c r="D106" s="1">
        <v>-0.78453623851529797</v>
      </c>
      <c r="E106" s="1">
        <v>-0.57203539338354503</v>
      </c>
    </row>
    <row r="107" spans="1:5" x14ac:dyDescent="0.35">
      <c r="A107">
        <v>20250430</v>
      </c>
      <c r="B107" s="2">
        <f t="shared" si="1"/>
        <v>45777</v>
      </c>
      <c r="C107" s="1">
        <v>-5.0091344199939218</v>
      </c>
      <c r="D107" s="1">
        <v>-1.5084344978634201</v>
      </c>
      <c r="E107" s="1">
        <v>-0.93297924054844406</v>
      </c>
    </row>
    <row r="108" spans="1:5" x14ac:dyDescent="0.35">
      <c r="A108">
        <v>20250531</v>
      </c>
      <c r="B108" s="2">
        <f t="shared" si="1"/>
        <v>45808</v>
      </c>
      <c r="C108" s="1">
        <v>-2.3980028412159071</v>
      </c>
      <c r="D108" s="1">
        <v>-1.7657921267059</v>
      </c>
      <c r="E108" s="1">
        <v>-0.18887714772943101</v>
      </c>
    </row>
    <row r="109" spans="1:5" x14ac:dyDescent="0.35">
      <c r="A109">
        <v>20250630</v>
      </c>
      <c r="B109" s="2">
        <f t="shared" si="1"/>
        <v>45838</v>
      </c>
      <c r="C109" s="1">
        <v>4.0260630125676045</v>
      </c>
      <c r="D109" s="1">
        <v>-1.19784882170643</v>
      </c>
      <c r="E109" s="1">
        <v>0.698601768908101</v>
      </c>
    </row>
    <row r="110" spans="1:5" x14ac:dyDescent="0.35">
      <c r="A110">
        <v>20250731</v>
      </c>
      <c r="B110" s="2">
        <f t="shared" si="1"/>
        <v>45869</v>
      </c>
      <c r="C110" s="1">
        <v>3.7978308629499802</v>
      </c>
      <c r="D110" s="1">
        <v>-0.185288027708812</v>
      </c>
      <c r="E110" s="1">
        <v>1.10967547888618</v>
      </c>
    </row>
    <row r="111" spans="1:5" x14ac:dyDescent="0.35">
      <c r="A111">
        <v>20250831</v>
      </c>
      <c r="B111" s="2">
        <f t="shared" si="1"/>
        <v>45900</v>
      </c>
      <c r="C111" s="1">
        <v>-0.62314750583338796</v>
      </c>
      <c r="D111" s="1">
        <v>-0.20948434964325199</v>
      </c>
      <c r="E111" s="1">
        <v>5.5176707288949398E-2</v>
      </c>
    </row>
    <row r="112" spans="1:5" x14ac:dyDescent="0.35">
      <c r="A112">
        <v>20250930</v>
      </c>
      <c r="B112" s="2">
        <f t="shared" si="1"/>
        <v>45930</v>
      </c>
      <c r="C112" s="1">
        <v>0.70637882687967224</v>
      </c>
      <c r="D112" s="1">
        <v>-0.115661474668267</v>
      </c>
      <c r="E112" s="1">
        <v>0.129528689905478</v>
      </c>
    </row>
    <row r="113" spans="1:5" x14ac:dyDescent="0.35">
      <c r="A113">
        <v>20251031</v>
      </c>
      <c r="B113" s="2">
        <f t="shared" si="1"/>
        <v>45961</v>
      </c>
      <c r="C113" s="1">
        <v>-9.8459308736864593E-3</v>
      </c>
      <c r="D113" s="1">
        <v>-0.23815332739295</v>
      </c>
      <c r="E113" s="1">
        <v>-8.81105167736633E-2</v>
      </c>
    </row>
    <row r="114" spans="1:5" x14ac:dyDescent="0.35">
      <c r="A114">
        <v>20251130</v>
      </c>
      <c r="B114" s="2">
        <f t="shared" si="1"/>
        <v>45991</v>
      </c>
      <c r="C114" s="1">
        <v>0.53448975331544801</v>
      </c>
      <c r="D114" s="1">
        <v>-0.37362173324862402</v>
      </c>
      <c r="E114" s="1">
        <v>-9.0172314885693994E-2</v>
      </c>
    </row>
    <row r="115" spans="1:5" x14ac:dyDescent="0.35">
      <c r="A115">
        <v>20251231</v>
      </c>
      <c r="B115" s="2">
        <f t="shared" si="1"/>
        <v>46022</v>
      </c>
      <c r="C115" s="1">
        <v>3.0903762674147073</v>
      </c>
      <c r="D115" s="1">
        <v>8.0915720082220102E-2</v>
      </c>
      <c r="E115" s="1">
        <v>0.49368356074361802</v>
      </c>
    </row>
    <row r="116" spans="1:5" x14ac:dyDescent="0.35">
      <c r="A116">
        <v>20260131</v>
      </c>
      <c r="B116" s="2">
        <f t="shared" si="1"/>
        <v>46053</v>
      </c>
      <c r="C116" s="1">
        <v>8.6146876852682297</v>
      </c>
      <c r="D116" s="1">
        <v>1.81146834573895</v>
      </c>
      <c r="E116" s="1">
        <v>1.86625108761508</v>
      </c>
    </row>
    <row r="117" spans="1:5" x14ac:dyDescent="0.35">
      <c r="A117">
        <v>20260228</v>
      </c>
      <c r="B117" s="2">
        <f t="shared" si="1"/>
        <v>46081</v>
      </c>
      <c r="C117" s="1">
        <v>-1.3201539538138518</v>
      </c>
      <c r="D117" s="1">
        <v>1.7543139709529401</v>
      </c>
      <c r="E117" s="1">
        <v>1.7702048280748499E-2</v>
      </c>
    </row>
    <row r="118" spans="1:5" x14ac:dyDescent="0.35">
      <c r="A118">
        <v>20260331</v>
      </c>
      <c r="B118" s="2">
        <f t="shared" si="1"/>
        <v>46112</v>
      </c>
      <c r="C118" s="1">
        <v>9.018640059285099</v>
      </c>
      <c r="D118" s="1">
        <v>3</v>
      </c>
      <c r="E118" s="1">
        <v>2.69114030449528</v>
      </c>
    </row>
    <row r="119" spans="1:5" x14ac:dyDescent="0.35">
      <c r="C119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8019-3C49-4A5D-A98F-C05080C95A6C}">
  <dimension ref="A1:E110"/>
  <sheetViews>
    <sheetView workbookViewId="0">
      <selection activeCell="B2" sqref="B2"/>
    </sheetView>
  </sheetViews>
  <sheetFormatPr defaultRowHeight="14.15" x14ac:dyDescent="0.35"/>
  <cols>
    <col min="4" max="4" width="16.5" style="1" bestFit="1" customWidth="1"/>
    <col min="5" max="5" width="18.85546875" style="1" bestFit="1" customWidth="1"/>
  </cols>
  <sheetData>
    <row r="1" spans="1:5" x14ac:dyDescent="0.35">
      <c r="A1" t="s">
        <v>0</v>
      </c>
      <c r="C1" t="s">
        <v>3</v>
      </c>
      <c r="D1" s="1" t="s">
        <v>1</v>
      </c>
      <c r="E1" s="1" t="s">
        <v>2</v>
      </c>
    </row>
    <row r="2" spans="1:5" x14ac:dyDescent="0.35">
      <c r="A2">
        <v>20170331</v>
      </c>
      <c r="B2" s="2">
        <f>DATE(LEFT(A2,4),MID(A2,5,2),RIGHT(A2,2))</f>
        <v>42825</v>
      </c>
      <c r="C2" s="1">
        <v>15.710338</v>
      </c>
      <c r="D2" s="1">
        <v>1.55477352935885</v>
      </c>
    </row>
    <row r="3" spans="1:5" x14ac:dyDescent="0.35">
      <c r="A3">
        <v>20170430</v>
      </c>
      <c r="B3" s="2">
        <f t="shared" ref="B3:B66" si="0">DATE(LEFT(A3,4),MID(A3,5,2),RIGHT(A3,2))</f>
        <v>42855</v>
      </c>
      <c r="C3" s="1">
        <v>15.501042999999999</v>
      </c>
      <c r="D3" s="1">
        <v>1.0290116509034599</v>
      </c>
      <c r="E3" s="1">
        <v>-0.47088738653247098</v>
      </c>
    </row>
    <row r="4" spans="1:5" x14ac:dyDescent="0.35">
      <c r="A4">
        <v>20170531</v>
      </c>
      <c r="B4" s="2">
        <f t="shared" si="0"/>
        <v>42886</v>
      </c>
      <c r="C4" s="1">
        <v>15.503387</v>
      </c>
      <c r="D4" s="1">
        <v>0.80878745822926601</v>
      </c>
      <c r="E4" s="1">
        <v>-0.20198279627697199</v>
      </c>
    </row>
    <row r="5" spans="1:5" x14ac:dyDescent="0.35">
      <c r="A5">
        <v>20170630</v>
      </c>
      <c r="B5" s="2">
        <f t="shared" si="0"/>
        <v>42916</v>
      </c>
      <c r="C5" s="1">
        <v>14.917823</v>
      </c>
      <c r="D5" s="1">
        <v>0.17208587865743699</v>
      </c>
      <c r="E5" s="1">
        <v>-0.69666714664315699</v>
      </c>
    </row>
    <row r="6" spans="1:5" x14ac:dyDescent="0.35">
      <c r="A6">
        <v>20170731</v>
      </c>
      <c r="B6" s="2">
        <f t="shared" si="0"/>
        <v>42947</v>
      </c>
      <c r="C6" s="1">
        <v>15.542253000000001</v>
      </c>
      <c r="D6" s="1">
        <v>0.61614458639661596</v>
      </c>
      <c r="E6" s="1">
        <v>0.54118619888783603</v>
      </c>
    </row>
    <row r="7" spans="1:5" x14ac:dyDescent="0.35">
      <c r="A7">
        <v>20170831</v>
      </c>
      <c r="B7" s="2">
        <f t="shared" si="0"/>
        <v>42978</v>
      </c>
      <c r="C7" s="1">
        <v>15.112273</v>
      </c>
      <c r="D7" s="1">
        <v>0.12261737906622699</v>
      </c>
      <c r="E7" s="1">
        <v>-0.53421340995023203</v>
      </c>
    </row>
    <row r="8" spans="1:5" x14ac:dyDescent="0.35">
      <c r="A8">
        <v>20170930</v>
      </c>
      <c r="B8" s="2">
        <f t="shared" si="0"/>
        <v>43008</v>
      </c>
      <c r="C8" s="1">
        <v>14.888994</v>
      </c>
      <c r="D8" s="1">
        <v>-0.118766746980557</v>
      </c>
      <c r="E8" s="1">
        <v>-0.23946251957657499</v>
      </c>
    </row>
    <row r="9" spans="1:5" x14ac:dyDescent="0.35">
      <c r="A9">
        <v>20171031</v>
      </c>
      <c r="B9" s="2">
        <f t="shared" si="0"/>
        <v>43039</v>
      </c>
      <c r="C9" s="1">
        <v>14.955353000000001</v>
      </c>
      <c r="D9" s="1">
        <v>-7.6233396715713705E-2</v>
      </c>
      <c r="E9" s="1">
        <v>8.7821832059119503E-2</v>
      </c>
    </row>
    <row r="10" spans="1:5" x14ac:dyDescent="0.35">
      <c r="A10">
        <v>20171130</v>
      </c>
      <c r="B10" s="2">
        <f t="shared" si="0"/>
        <v>43069</v>
      </c>
      <c r="C10" s="1">
        <v>14.492229</v>
      </c>
      <c r="D10" s="1">
        <v>-0.50016453951605</v>
      </c>
      <c r="E10" s="1">
        <v>-0.443131960865006</v>
      </c>
    </row>
    <row r="11" spans="1:5" x14ac:dyDescent="0.35">
      <c r="A11">
        <v>20171231</v>
      </c>
      <c r="B11" s="2">
        <f t="shared" si="0"/>
        <v>43100</v>
      </c>
      <c r="C11" s="1">
        <v>14.081822000000001</v>
      </c>
      <c r="D11" s="1">
        <v>-0.80763106226628201</v>
      </c>
      <c r="E11" s="1">
        <v>-0.304835545036027</v>
      </c>
    </row>
    <row r="12" spans="1:5" x14ac:dyDescent="0.35">
      <c r="A12">
        <v>20180131</v>
      </c>
      <c r="B12" s="2">
        <f t="shared" si="0"/>
        <v>43131</v>
      </c>
      <c r="C12" s="1">
        <v>13.433579</v>
      </c>
      <c r="D12" s="1">
        <v>-1.26702144645641</v>
      </c>
      <c r="E12" s="1">
        <v>-0.48476895878607201</v>
      </c>
    </row>
    <row r="13" spans="1:5" x14ac:dyDescent="0.35">
      <c r="A13">
        <v>20180228</v>
      </c>
      <c r="B13" s="2">
        <f t="shared" si="0"/>
        <v>43159</v>
      </c>
      <c r="C13" s="1">
        <v>13.388316</v>
      </c>
      <c r="D13" s="1">
        <v>-1.08581741096978</v>
      </c>
      <c r="E13" s="1">
        <v>0.23662158513881801</v>
      </c>
    </row>
    <row r="14" spans="1:5" x14ac:dyDescent="0.35">
      <c r="A14">
        <v>20180331</v>
      </c>
      <c r="B14" s="2">
        <f t="shared" si="0"/>
        <v>43190</v>
      </c>
      <c r="C14" s="1">
        <v>12.690308</v>
      </c>
      <c r="D14" s="1">
        <v>-1.51367229526319</v>
      </c>
      <c r="E14" s="1">
        <v>-0.47828594899878302</v>
      </c>
    </row>
    <row r="15" spans="1:5" x14ac:dyDescent="0.35">
      <c r="A15">
        <v>20180430</v>
      </c>
      <c r="B15" s="2">
        <f t="shared" si="0"/>
        <v>43220</v>
      </c>
      <c r="C15" s="1">
        <v>12.652969000000001</v>
      </c>
      <c r="D15" s="1">
        <v>-1.2548240890004201</v>
      </c>
      <c r="E15" s="1">
        <v>0.32411729441526599</v>
      </c>
    </row>
    <row r="16" spans="1:5" x14ac:dyDescent="0.35">
      <c r="A16">
        <v>20180531</v>
      </c>
      <c r="B16" s="2">
        <f t="shared" si="0"/>
        <v>43251</v>
      </c>
      <c r="C16" s="1">
        <v>12.199076</v>
      </c>
      <c r="D16" s="1">
        <v>-1.40866737270455</v>
      </c>
      <c r="E16" s="1">
        <v>-0.16826089338216499</v>
      </c>
    </row>
    <row r="17" spans="1:5" x14ac:dyDescent="0.35">
      <c r="A17">
        <v>20180630</v>
      </c>
      <c r="B17" s="2">
        <f t="shared" si="0"/>
        <v>43281</v>
      </c>
      <c r="C17" s="1">
        <v>11.76127</v>
      </c>
      <c r="D17" s="1">
        <v>-1.5026780492107501</v>
      </c>
      <c r="E17" s="1">
        <v>-0.107517471495887</v>
      </c>
    </row>
    <row r="18" spans="1:5" x14ac:dyDescent="0.35">
      <c r="A18">
        <v>20180731</v>
      </c>
      <c r="B18" s="2">
        <f t="shared" si="0"/>
        <v>43312</v>
      </c>
      <c r="C18" s="1">
        <v>11.485086000000001</v>
      </c>
      <c r="D18" s="1">
        <v>-1.42902748854697</v>
      </c>
      <c r="E18" s="1">
        <v>0.1068808796588</v>
      </c>
    </row>
    <row r="19" spans="1:5" x14ac:dyDescent="0.35">
      <c r="A19">
        <v>20180831</v>
      </c>
      <c r="B19" s="2">
        <f t="shared" si="0"/>
        <v>43343</v>
      </c>
      <c r="C19" s="1">
        <v>11.516139000000001</v>
      </c>
      <c r="D19" s="1">
        <v>-1.1151779098689001</v>
      </c>
      <c r="E19" s="1">
        <v>0.453573954045082</v>
      </c>
    </row>
    <row r="20" spans="1:5" x14ac:dyDescent="0.35">
      <c r="A20">
        <v>20180930</v>
      </c>
      <c r="B20" s="2">
        <f t="shared" si="0"/>
        <v>43373</v>
      </c>
      <c r="C20" s="1">
        <v>11.208432999999999</v>
      </c>
      <c r="D20" s="1">
        <v>-1.14225986377955</v>
      </c>
      <c r="E20" s="1">
        <v>1.38194187366531E-3</v>
      </c>
    </row>
    <row r="21" spans="1:5" x14ac:dyDescent="0.35">
      <c r="A21">
        <v>20181031</v>
      </c>
      <c r="B21" s="2">
        <f t="shared" si="0"/>
        <v>43404</v>
      </c>
      <c r="C21" s="1">
        <v>10.789977</v>
      </c>
      <c r="D21" s="1">
        <v>-1.22250443221095</v>
      </c>
      <c r="E21" s="1">
        <v>-0.11428021312741</v>
      </c>
    </row>
    <row r="22" spans="1:5" x14ac:dyDescent="0.35">
      <c r="A22">
        <v>20181130</v>
      </c>
      <c r="B22" s="2">
        <f t="shared" si="0"/>
        <v>43434</v>
      </c>
      <c r="C22" s="1">
        <v>10.307183</v>
      </c>
      <c r="D22" s="1">
        <v>-1.33386038869358</v>
      </c>
      <c r="E22" s="1">
        <v>-0.15707292278832299</v>
      </c>
    </row>
    <row r="23" spans="1:5" x14ac:dyDescent="0.35">
      <c r="A23">
        <v>20181231</v>
      </c>
      <c r="B23" s="2">
        <f t="shared" si="0"/>
        <v>43465</v>
      </c>
      <c r="C23" s="1">
        <v>10.259731</v>
      </c>
      <c r="D23" s="1">
        <v>-1.05820282926007</v>
      </c>
      <c r="E23" s="1">
        <v>0.40598248937556097</v>
      </c>
    </row>
    <row r="24" spans="1:5" x14ac:dyDescent="0.35">
      <c r="A24">
        <v>20190131</v>
      </c>
      <c r="B24" s="2">
        <f t="shared" si="0"/>
        <v>43496</v>
      </c>
      <c r="C24" s="1">
        <v>10.851788000000001</v>
      </c>
      <c r="D24" s="1">
        <v>-0.34832489263126698</v>
      </c>
      <c r="E24" s="1">
        <v>1.1275151975380899</v>
      </c>
    </row>
    <row r="25" spans="1:5" x14ac:dyDescent="0.35">
      <c r="A25">
        <v>20190228</v>
      </c>
      <c r="B25" s="2">
        <f t="shared" si="0"/>
        <v>43524</v>
      </c>
      <c r="C25" s="1">
        <v>10.645690999999999</v>
      </c>
      <c r="D25" s="1">
        <v>-0.37528972225463397</v>
      </c>
      <c r="E25" s="1">
        <v>-2.77608025047398E-2</v>
      </c>
    </row>
    <row r="26" spans="1:5" x14ac:dyDescent="0.35">
      <c r="A26">
        <v>20190331</v>
      </c>
      <c r="B26" s="2">
        <f t="shared" si="0"/>
        <v>43555</v>
      </c>
      <c r="C26" s="1">
        <v>11.162117</v>
      </c>
      <c r="D26" s="1">
        <v>0.15881444824169799</v>
      </c>
      <c r="E26" s="1">
        <v>0.87076065294166505</v>
      </c>
    </row>
    <row r="27" spans="1:5" x14ac:dyDescent="0.35">
      <c r="A27">
        <v>20190430</v>
      </c>
      <c r="B27" s="2">
        <f t="shared" si="0"/>
        <v>43585</v>
      </c>
      <c r="C27" s="1">
        <v>10.805548</v>
      </c>
      <c r="D27" s="1">
        <v>-6.4127929059111896E-2</v>
      </c>
      <c r="E27" s="1">
        <v>-0.34379350066703102</v>
      </c>
    </row>
    <row r="28" spans="1:5" x14ac:dyDescent="0.35">
      <c r="A28">
        <v>20190531</v>
      </c>
      <c r="B28" s="2">
        <f t="shared" si="0"/>
        <v>43616</v>
      </c>
      <c r="C28" s="1">
        <v>11.025001</v>
      </c>
      <c r="D28" s="1">
        <v>0.198982995584948</v>
      </c>
      <c r="E28" s="1">
        <v>0.43544684406566397</v>
      </c>
    </row>
    <row r="29" spans="1:5" x14ac:dyDescent="0.35">
      <c r="A29">
        <v>20190630</v>
      </c>
      <c r="B29" s="2">
        <f t="shared" si="0"/>
        <v>43646</v>
      </c>
      <c r="C29" s="1">
        <v>11.193424</v>
      </c>
      <c r="D29" s="1">
        <v>0.36104693228384699</v>
      </c>
      <c r="E29" s="1">
        <v>0.30597201105236599</v>
      </c>
    </row>
    <row r="30" spans="1:5" x14ac:dyDescent="0.35">
      <c r="A30">
        <v>20190731</v>
      </c>
      <c r="B30" s="2">
        <f t="shared" si="0"/>
        <v>43677</v>
      </c>
      <c r="C30" s="1">
        <v>10.848680999999999</v>
      </c>
      <c r="D30" s="1">
        <v>7.8688824652508704E-2</v>
      </c>
      <c r="E30" s="1">
        <v>-0.38848686876708199</v>
      </c>
    </row>
    <row r="31" spans="1:5" x14ac:dyDescent="0.35">
      <c r="A31">
        <v>20190831</v>
      </c>
      <c r="B31" s="2">
        <f t="shared" si="0"/>
        <v>43708</v>
      </c>
      <c r="C31" s="1">
        <v>10.676171999999999</v>
      </c>
      <c r="D31" s="1">
        <v>-2.8125015003479501E-2</v>
      </c>
      <c r="E31" s="1">
        <v>-9.7786000260912206E-2</v>
      </c>
    </row>
    <row r="32" spans="1:5" x14ac:dyDescent="0.35">
      <c r="A32">
        <v>20190930</v>
      </c>
      <c r="B32" s="2">
        <f t="shared" si="0"/>
        <v>43738</v>
      </c>
      <c r="C32" s="1">
        <v>10.666387</v>
      </c>
      <c r="D32" s="1">
        <v>9.1230796323273199E-3</v>
      </c>
      <c r="E32" s="1">
        <v>0.13552769843750501</v>
      </c>
    </row>
    <row r="33" spans="1:5" x14ac:dyDescent="0.35">
      <c r="A33">
        <v>20191031</v>
      </c>
      <c r="B33" s="2">
        <f t="shared" si="0"/>
        <v>43769</v>
      </c>
      <c r="C33" s="1">
        <v>10.581898000000001</v>
      </c>
      <c r="D33" s="1">
        <v>-2.1529391871491398E-2</v>
      </c>
      <c r="E33" s="1">
        <v>2.2698175565878199E-2</v>
      </c>
    </row>
    <row r="34" spans="1:5" x14ac:dyDescent="0.35">
      <c r="A34">
        <v>20191130</v>
      </c>
      <c r="B34" s="2">
        <f t="shared" si="0"/>
        <v>43799</v>
      </c>
      <c r="C34" s="1">
        <v>10.669226999999999</v>
      </c>
      <c r="D34" s="1">
        <v>9.0511727530159E-2</v>
      </c>
      <c r="E34" s="1">
        <v>0.21968118274208401</v>
      </c>
    </row>
    <row r="35" spans="1:5" x14ac:dyDescent="0.35">
      <c r="A35">
        <v>20191231</v>
      </c>
      <c r="B35" s="2">
        <f t="shared" si="0"/>
        <v>43830</v>
      </c>
      <c r="C35" s="1">
        <v>10.692755999999999</v>
      </c>
      <c r="D35" s="1">
        <v>0.140314225511177</v>
      </c>
      <c r="E35" s="1">
        <v>0.112124993262367</v>
      </c>
    </row>
    <row r="36" spans="1:5" x14ac:dyDescent="0.35">
      <c r="A36">
        <v>20200131</v>
      </c>
      <c r="B36" s="2">
        <f t="shared" si="0"/>
        <v>43861</v>
      </c>
      <c r="C36" s="1">
        <v>10.7</v>
      </c>
      <c r="D36" s="1">
        <v>0.15110750490788399</v>
      </c>
      <c r="E36" s="1">
        <v>6.5706373890856207E-2</v>
      </c>
    </row>
    <row r="37" spans="1:5" x14ac:dyDescent="0.35">
      <c r="A37">
        <v>20200229</v>
      </c>
      <c r="B37" s="2">
        <f t="shared" si="0"/>
        <v>43890</v>
      </c>
      <c r="C37" s="1">
        <v>10.7</v>
      </c>
      <c r="D37" s="1">
        <v>0.26830630689400298</v>
      </c>
      <c r="E37" s="1">
        <v>6.5497223065595897E-2</v>
      </c>
    </row>
    <row r="38" spans="1:5" x14ac:dyDescent="0.35">
      <c r="A38">
        <v>20200331</v>
      </c>
      <c r="B38" s="2">
        <f t="shared" si="0"/>
        <v>43921</v>
      </c>
      <c r="C38" s="1">
        <v>11.5</v>
      </c>
      <c r="D38" s="1">
        <v>1.2243062377012099</v>
      </c>
      <c r="E38" s="1">
        <v>1.15312723692262</v>
      </c>
    </row>
    <row r="39" spans="1:5" x14ac:dyDescent="0.35">
      <c r="A39">
        <v>20200430</v>
      </c>
      <c r="B39" s="2">
        <f t="shared" si="0"/>
        <v>43951</v>
      </c>
      <c r="C39" s="1">
        <v>12</v>
      </c>
      <c r="D39" s="1">
        <v>1.7977847092804899</v>
      </c>
      <c r="E39" s="1">
        <v>0.55290362360029199</v>
      </c>
    </row>
    <row r="40" spans="1:5" x14ac:dyDescent="0.35">
      <c r="A40">
        <v>20200531</v>
      </c>
      <c r="B40" s="2">
        <f t="shared" si="0"/>
        <v>43982</v>
      </c>
      <c r="C40" s="1">
        <v>12.5</v>
      </c>
      <c r="D40" s="1">
        <v>2.2318267679498298</v>
      </c>
      <c r="E40" s="1">
        <v>0.44319691960859398</v>
      </c>
    </row>
    <row r="41" spans="1:5" x14ac:dyDescent="0.35">
      <c r="A41">
        <v>20200630</v>
      </c>
      <c r="B41" s="2">
        <f t="shared" si="0"/>
        <v>44012</v>
      </c>
      <c r="C41" s="1">
        <v>12.8</v>
      </c>
      <c r="D41" s="1">
        <v>2.2917517504301301</v>
      </c>
      <c r="E41" s="1">
        <v>6.3446202703116503E-2</v>
      </c>
    </row>
    <row r="42" spans="1:5" x14ac:dyDescent="0.35">
      <c r="A42">
        <v>20200731</v>
      </c>
      <c r="B42" s="2">
        <f t="shared" si="0"/>
        <v>44043</v>
      </c>
      <c r="C42" s="1">
        <v>12.9</v>
      </c>
      <c r="D42" s="1">
        <v>2.0060678688665501</v>
      </c>
      <c r="E42" s="1">
        <v>-0.249912653654458</v>
      </c>
    </row>
    <row r="43" spans="1:5" x14ac:dyDescent="0.35">
      <c r="A43">
        <v>20200831</v>
      </c>
      <c r="B43" s="2">
        <f t="shared" si="0"/>
        <v>44074</v>
      </c>
      <c r="C43" s="1">
        <v>13.3</v>
      </c>
      <c r="D43" s="1">
        <v>2.1555887753985798</v>
      </c>
      <c r="E43" s="1">
        <v>0.192932234749114</v>
      </c>
    </row>
    <row r="44" spans="1:5" x14ac:dyDescent="0.35">
      <c r="A44">
        <v>20200930</v>
      </c>
      <c r="B44" s="2">
        <f t="shared" si="0"/>
        <v>44104</v>
      </c>
      <c r="C44" s="1">
        <v>13.5</v>
      </c>
      <c r="D44" s="1">
        <v>1.98260833082168</v>
      </c>
      <c r="E44" s="1">
        <v>-0.13768375607494701</v>
      </c>
    </row>
    <row r="45" spans="1:5" x14ac:dyDescent="0.35">
      <c r="A45">
        <v>20201031</v>
      </c>
      <c r="B45" s="2">
        <f t="shared" si="0"/>
        <v>44135</v>
      </c>
      <c r="C45" s="1">
        <v>13.7</v>
      </c>
      <c r="D45" s="1">
        <v>1.82395494214954</v>
      </c>
      <c r="E45" s="1">
        <v>-0.12592624072218001</v>
      </c>
    </row>
    <row r="46" spans="1:5" x14ac:dyDescent="0.35">
      <c r="A46">
        <v>20201130</v>
      </c>
      <c r="B46" s="2">
        <f t="shared" si="0"/>
        <v>44165</v>
      </c>
      <c r="C46" s="1">
        <v>13.6</v>
      </c>
      <c r="D46" s="1">
        <v>1.4237058734510299</v>
      </c>
      <c r="E46" s="1">
        <v>-0.53896093339885998</v>
      </c>
    </row>
    <row r="47" spans="1:5" x14ac:dyDescent="0.35">
      <c r="A47">
        <v>20201231</v>
      </c>
      <c r="B47" s="2">
        <f t="shared" si="0"/>
        <v>44196</v>
      </c>
      <c r="C47" s="1">
        <v>13.3</v>
      </c>
      <c r="D47" s="1">
        <v>0.93021074211978905</v>
      </c>
      <c r="E47" s="1">
        <v>-0.72611345317115406</v>
      </c>
    </row>
    <row r="48" spans="1:5" x14ac:dyDescent="0.35">
      <c r="A48">
        <v>20210131</v>
      </c>
      <c r="B48" s="2">
        <f t="shared" si="0"/>
        <v>44227</v>
      </c>
      <c r="C48" s="1">
        <v>13</v>
      </c>
      <c r="D48" s="1">
        <v>0.53666516425013</v>
      </c>
      <c r="E48" s="1">
        <v>-0.63522703577812201</v>
      </c>
    </row>
    <row r="49" spans="1:5" x14ac:dyDescent="0.35">
      <c r="A49">
        <v>20210228</v>
      </c>
      <c r="B49" s="2">
        <f t="shared" si="0"/>
        <v>44255</v>
      </c>
      <c r="C49" s="1">
        <v>13.3</v>
      </c>
      <c r="D49" s="1">
        <v>0.72903418966837297</v>
      </c>
      <c r="E49" s="1">
        <v>0.84266230831033795</v>
      </c>
    </row>
    <row r="50" spans="1:5" x14ac:dyDescent="0.35">
      <c r="A50">
        <v>20210331</v>
      </c>
      <c r="B50" s="2">
        <f t="shared" si="0"/>
        <v>44286</v>
      </c>
      <c r="C50" s="1">
        <v>12.3</v>
      </c>
      <c r="D50" s="1">
        <v>-0.25489533281277599</v>
      </c>
      <c r="E50" s="1">
        <v>-2.80408835622955</v>
      </c>
    </row>
    <row r="51" spans="1:5" x14ac:dyDescent="0.35">
      <c r="A51">
        <v>20210430</v>
      </c>
      <c r="B51" s="2">
        <f t="shared" si="0"/>
        <v>44316</v>
      </c>
      <c r="C51" s="1">
        <v>11.7</v>
      </c>
      <c r="D51" s="1">
        <v>-0.74497401866096602</v>
      </c>
      <c r="E51" s="1">
        <v>-1.1852597827628599</v>
      </c>
    </row>
    <row r="52" spans="1:5" x14ac:dyDescent="0.35">
      <c r="A52">
        <v>20210531</v>
      </c>
      <c r="B52" s="2">
        <f t="shared" si="0"/>
        <v>44347</v>
      </c>
      <c r="C52" s="1">
        <v>11</v>
      </c>
      <c r="D52" s="1">
        <v>-1.2400287096746301</v>
      </c>
      <c r="E52" s="1">
        <v>-1.23734631512937</v>
      </c>
    </row>
    <row r="53" spans="1:5" x14ac:dyDescent="0.35">
      <c r="A53">
        <v>20210630</v>
      </c>
      <c r="B53" s="2">
        <f t="shared" si="0"/>
        <v>44377</v>
      </c>
      <c r="C53" s="1">
        <v>11</v>
      </c>
      <c r="D53" s="1">
        <v>-1.0205234159418901</v>
      </c>
      <c r="E53" s="1">
        <v>0.77013226939922497</v>
      </c>
    </row>
    <row r="54" spans="1:5" x14ac:dyDescent="0.35">
      <c r="A54">
        <v>20210731</v>
      </c>
      <c r="B54" s="2">
        <f t="shared" si="0"/>
        <v>44408</v>
      </c>
      <c r="C54" s="1">
        <v>10.7</v>
      </c>
      <c r="D54" s="1">
        <v>-1.1311598887865899</v>
      </c>
      <c r="E54" s="1">
        <v>-0.14000705493430399</v>
      </c>
    </row>
    <row r="55" spans="1:5" x14ac:dyDescent="0.35">
      <c r="A55">
        <v>20210831</v>
      </c>
      <c r="B55" s="2">
        <f t="shared" si="0"/>
        <v>44439</v>
      </c>
      <c r="C55" s="1">
        <v>10.3</v>
      </c>
      <c r="D55" s="1">
        <v>-1.3191335691314501</v>
      </c>
      <c r="E55" s="1">
        <v>-0.337252515163387</v>
      </c>
    </row>
    <row r="56" spans="1:5" x14ac:dyDescent="0.35">
      <c r="A56">
        <v>20210930</v>
      </c>
      <c r="B56" s="2">
        <f t="shared" si="0"/>
        <v>44469</v>
      </c>
      <c r="C56" s="1">
        <v>10</v>
      </c>
      <c r="D56" s="1">
        <v>-1.35705466803911</v>
      </c>
      <c r="E56" s="1">
        <v>-2.0435197470645601E-2</v>
      </c>
    </row>
    <row r="57" spans="1:5" x14ac:dyDescent="0.35">
      <c r="A57">
        <v>20211031</v>
      </c>
      <c r="B57" s="2">
        <f t="shared" si="0"/>
        <v>44500</v>
      </c>
      <c r="C57" s="1">
        <v>10</v>
      </c>
      <c r="D57" s="1">
        <v>-1.1138833351343</v>
      </c>
      <c r="E57" s="1">
        <v>0.80899103400269501</v>
      </c>
    </row>
    <row r="58" spans="1:5" x14ac:dyDescent="0.35">
      <c r="A58">
        <v>20211130</v>
      </c>
      <c r="B58" s="2">
        <f t="shared" si="0"/>
        <v>44530</v>
      </c>
      <c r="C58" s="1">
        <v>10.1</v>
      </c>
      <c r="D58" s="1">
        <v>-0.84022975391615196</v>
      </c>
      <c r="E58" s="1">
        <v>0.95629376460509796</v>
      </c>
    </row>
    <row r="59" spans="1:5" x14ac:dyDescent="0.35">
      <c r="A59">
        <v>20211231</v>
      </c>
      <c r="B59" s="2">
        <f t="shared" si="0"/>
        <v>44561</v>
      </c>
      <c r="C59" s="1">
        <v>10.3</v>
      </c>
      <c r="D59" s="1">
        <v>-0.53568063058634496</v>
      </c>
      <c r="E59" s="1">
        <v>1.0577639621549</v>
      </c>
    </row>
    <row r="60" spans="1:5" x14ac:dyDescent="0.35">
      <c r="A60">
        <v>20220131</v>
      </c>
      <c r="B60" s="2">
        <f t="shared" si="0"/>
        <v>44592</v>
      </c>
      <c r="C60" s="1">
        <v>10.5</v>
      </c>
      <c r="D60" s="1">
        <v>-0.27048458286780203</v>
      </c>
      <c r="E60" s="1">
        <v>0.858876688207864</v>
      </c>
    </row>
    <row r="61" spans="1:5" x14ac:dyDescent="0.35">
      <c r="A61">
        <v>20220228</v>
      </c>
      <c r="B61" s="2">
        <f t="shared" si="0"/>
        <v>44620</v>
      </c>
      <c r="C61" s="1">
        <v>10.199999999999999</v>
      </c>
      <c r="D61" s="1">
        <v>-0.51776260931009299</v>
      </c>
      <c r="E61" s="1">
        <v>-0.70378504616482296</v>
      </c>
    </row>
    <row r="62" spans="1:5" x14ac:dyDescent="0.35">
      <c r="A62">
        <v>20220331</v>
      </c>
      <c r="B62" s="2">
        <f t="shared" si="0"/>
        <v>44651</v>
      </c>
      <c r="C62" s="1">
        <v>10.5</v>
      </c>
      <c r="D62" s="1">
        <v>-0.12936956286100201</v>
      </c>
      <c r="E62" s="1">
        <v>1.08789277854069</v>
      </c>
    </row>
    <row r="63" spans="1:5" x14ac:dyDescent="0.35">
      <c r="A63">
        <v>20220430</v>
      </c>
      <c r="B63" s="2">
        <f t="shared" si="0"/>
        <v>44681</v>
      </c>
      <c r="C63" s="1">
        <v>10.199999999999999</v>
      </c>
      <c r="D63" s="1">
        <v>-0.38990325517470098</v>
      </c>
      <c r="E63" s="1">
        <v>-0.81425495247721102</v>
      </c>
    </row>
    <row r="64" spans="1:5" x14ac:dyDescent="0.35">
      <c r="A64">
        <v>20220531</v>
      </c>
      <c r="B64" s="2">
        <f t="shared" si="0"/>
        <v>44712</v>
      </c>
      <c r="C64" s="1">
        <v>10.5</v>
      </c>
      <c r="D64" s="1">
        <v>-1.4437914885162601E-2</v>
      </c>
      <c r="E64" s="1">
        <v>1.01088868435196</v>
      </c>
    </row>
    <row r="65" spans="1:5" x14ac:dyDescent="0.35">
      <c r="A65">
        <v>20220630</v>
      </c>
      <c r="B65" s="2">
        <f t="shared" si="0"/>
        <v>44742</v>
      </c>
      <c r="C65" s="1">
        <v>10.8</v>
      </c>
      <c r="D65" s="1">
        <v>0.30143781557904098</v>
      </c>
      <c r="E65" s="1">
        <v>0.80755771179907299</v>
      </c>
    </row>
    <row r="66" spans="1:5" x14ac:dyDescent="0.35">
      <c r="A66">
        <v>20220731</v>
      </c>
      <c r="B66" s="2">
        <f t="shared" si="0"/>
        <v>44773</v>
      </c>
      <c r="C66" s="1">
        <v>10.7</v>
      </c>
      <c r="D66" s="1">
        <v>0.166047572968301</v>
      </c>
      <c r="E66" s="1">
        <v>-0.474367892346584</v>
      </c>
    </row>
    <row r="67" spans="1:5" x14ac:dyDescent="0.35">
      <c r="A67">
        <v>20220831</v>
      </c>
      <c r="B67" s="2">
        <f t="shared" ref="B67:B110" si="1">DATE(LEFT(A67,4),MID(A67,5,2),RIGHT(A67,2))</f>
        <v>44804</v>
      </c>
      <c r="C67" s="1">
        <v>10.5</v>
      </c>
      <c r="D67" s="1">
        <v>-5.4600144731520799E-2</v>
      </c>
      <c r="E67" s="1">
        <v>-0.68834172181906395</v>
      </c>
    </row>
    <row r="68" spans="1:5" x14ac:dyDescent="0.35">
      <c r="A68">
        <v>20220930</v>
      </c>
      <c r="B68" s="2">
        <f t="shared" si="1"/>
        <v>44834</v>
      </c>
      <c r="C68" s="1">
        <v>10.6</v>
      </c>
      <c r="D68" s="1">
        <v>5.8493431963550502E-2</v>
      </c>
      <c r="E68" s="1">
        <v>0.26430156106008701</v>
      </c>
    </row>
    <row r="69" spans="1:5" x14ac:dyDescent="0.35">
      <c r="A69">
        <v>20221031</v>
      </c>
      <c r="B69" s="2">
        <f t="shared" si="1"/>
        <v>44865</v>
      </c>
      <c r="C69" s="1">
        <v>10.3</v>
      </c>
      <c r="D69" s="1">
        <v>-0.24887194524846701</v>
      </c>
      <c r="E69" s="1">
        <v>-0.91247713120967799</v>
      </c>
    </row>
    <row r="70" spans="1:5" x14ac:dyDescent="0.35">
      <c r="A70">
        <v>20221130</v>
      </c>
      <c r="B70" s="2">
        <f t="shared" si="1"/>
        <v>44895</v>
      </c>
      <c r="C70" s="1">
        <v>10</v>
      </c>
      <c r="D70" s="1">
        <v>-0.50367057505050605</v>
      </c>
      <c r="E70" s="1">
        <v>-0.77486056748832399</v>
      </c>
    </row>
    <row r="71" spans="1:5" x14ac:dyDescent="0.35">
      <c r="A71">
        <v>20221231</v>
      </c>
      <c r="B71" s="2">
        <f t="shared" si="1"/>
        <v>44926</v>
      </c>
      <c r="C71" s="1">
        <v>9.6</v>
      </c>
      <c r="D71" s="1">
        <v>-0.80616710461706897</v>
      </c>
      <c r="E71" s="1">
        <v>-0.94133888022005097</v>
      </c>
    </row>
    <row r="72" spans="1:5" x14ac:dyDescent="0.35">
      <c r="A72">
        <v>20230131</v>
      </c>
      <c r="B72" s="2">
        <f t="shared" si="1"/>
        <v>44957</v>
      </c>
      <c r="C72" s="1">
        <v>9.4</v>
      </c>
      <c r="D72" s="1">
        <v>-0.84430451296964804</v>
      </c>
      <c r="E72" s="1">
        <v>-0.222732822788303</v>
      </c>
    </row>
    <row r="73" spans="1:5" x14ac:dyDescent="0.35">
      <c r="A73">
        <v>20230228</v>
      </c>
      <c r="B73" s="2">
        <f t="shared" si="1"/>
        <v>44985</v>
      </c>
      <c r="C73" s="1">
        <v>9.9</v>
      </c>
      <c r="D73" s="1">
        <v>-0.18148068870477099</v>
      </c>
      <c r="E73" s="1">
        <v>1.8935564799604701</v>
      </c>
    </row>
    <row r="74" spans="1:5" x14ac:dyDescent="0.35">
      <c r="A74">
        <v>20230331</v>
      </c>
      <c r="B74" s="2">
        <f t="shared" si="1"/>
        <v>45016</v>
      </c>
      <c r="C74" s="1">
        <v>10</v>
      </c>
      <c r="D74" s="1">
        <v>-3.36281898712966E-2</v>
      </c>
      <c r="E74" s="1">
        <v>0.37672312998339802</v>
      </c>
    </row>
    <row r="75" spans="1:5" x14ac:dyDescent="0.35">
      <c r="A75">
        <v>20230430</v>
      </c>
      <c r="B75" s="2">
        <f t="shared" si="1"/>
        <v>45046</v>
      </c>
      <c r="C75" s="1">
        <v>10</v>
      </c>
      <c r="D75" s="1">
        <v>1.25185896770303E-2</v>
      </c>
      <c r="E75" s="1">
        <v>6.3384120812995895E-2</v>
      </c>
    </row>
    <row r="76" spans="1:5" x14ac:dyDescent="0.35">
      <c r="A76">
        <v>20230531</v>
      </c>
      <c r="B76" s="2">
        <f t="shared" si="1"/>
        <v>45077</v>
      </c>
      <c r="C76" s="1">
        <v>9.5</v>
      </c>
      <c r="D76" s="1">
        <v>-0.43843651980909698</v>
      </c>
      <c r="E76" s="1">
        <v>-1.4430614701734199</v>
      </c>
    </row>
    <row r="77" spans="1:5" x14ac:dyDescent="0.35">
      <c r="A77">
        <v>20230630</v>
      </c>
      <c r="B77" s="2">
        <f t="shared" si="1"/>
        <v>45107</v>
      </c>
      <c r="C77" s="1">
        <v>9</v>
      </c>
      <c r="D77" s="1">
        <v>-0.821635656862158</v>
      </c>
      <c r="E77" s="1">
        <v>-1.1622832405485199</v>
      </c>
    </row>
    <row r="78" spans="1:5" x14ac:dyDescent="0.35">
      <c r="A78">
        <v>20230731</v>
      </c>
      <c r="B78" s="2">
        <f t="shared" si="1"/>
        <v>45138</v>
      </c>
      <c r="C78" s="1">
        <v>8.9</v>
      </c>
      <c r="D78" s="1">
        <v>-0.71832496788350797</v>
      </c>
      <c r="E78" s="1">
        <v>0.220694385895401</v>
      </c>
    </row>
    <row r="79" spans="1:5" x14ac:dyDescent="0.35">
      <c r="A79">
        <v>20230831</v>
      </c>
      <c r="B79" s="2">
        <f t="shared" si="1"/>
        <v>45169</v>
      </c>
      <c r="C79" s="1">
        <v>9</v>
      </c>
      <c r="D79" s="1">
        <v>-0.394158810273668</v>
      </c>
      <c r="E79" s="1">
        <v>0.75594926182869604</v>
      </c>
    </row>
    <row r="80" spans="1:5" x14ac:dyDescent="0.35">
      <c r="A80">
        <v>20230930</v>
      </c>
      <c r="B80" s="2">
        <f t="shared" si="1"/>
        <v>45199</v>
      </c>
      <c r="C80" s="1">
        <v>9</v>
      </c>
      <c r="D80" s="1">
        <v>-0.21229268826018</v>
      </c>
      <c r="E80" s="1">
        <v>0.330264487201192</v>
      </c>
    </row>
    <row r="81" spans="1:5" x14ac:dyDescent="0.35">
      <c r="A81">
        <v>20231031</v>
      </c>
      <c r="B81" s="2">
        <f t="shared" si="1"/>
        <v>45230</v>
      </c>
      <c r="C81" s="1">
        <v>9.3000000000000007</v>
      </c>
      <c r="D81" s="1">
        <v>0.37543426647393002</v>
      </c>
      <c r="E81" s="1">
        <v>1.147451975948</v>
      </c>
    </row>
    <row r="82" spans="1:5" x14ac:dyDescent="0.35">
      <c r="A82">
        <v>20231130</v>
      </c>
      <c r="B82" s="2">
        <f t="shared" si="1"/>
        <v>45260</v>
      </c>
      <c r="C82" s="1">
        <v>9.4</v>
      </c>
      <c r="D82" s="1">
        <v>0.68983146973629705</v>
      </c>
      <c r="E82" s="1">
        <v>0.36359851367375101</v>
      </c>
    </row>
    <row r="83" spans="1:5" x14ac:dyDescent="0.35">
      <c r="A83">
        <v>20231231</v>
      </c>
      <c r="B83" s="2">
        <f t="shared" si="1"/>
        <v>45291</v>
      </c>
      <c r="C83" s="1">
        <v>9.5</v>
      </c>
      <c r="D83" s="1">
        <v>1.00074399229899</v>
      </c>
      <c r="E83" s="1">
        <v>0.30709748562241201</v>
      </c>
    </row>
    <row r="84" spans="1:5" x14ac:dyDescent="0.35">
      <c r="A84">
        <v>20240131</v>
      </c>
      <c r="B84" s="2">
        <f t="shared" si="1"/>
        <v>45322</v>
      </c>
      <c r="C84" s="1">
        <v>9.5</v>
      </c>
      <c r="D84" s="1">
        <v>1.0729137025562501</v>
      </c>
      <c r="E84" s="1">
        <v>-3.0571936327308001E-2</v>
      </c>
    </row>
    <row r="85" spans="1:5" x14ac:dyDescent="0.35">
      <c r="A85">
        <v>20240229</v>
      </c>
      <c r="B85" s="2">
        <f t="shared" si="1"/>
        <v>45351</v>
      </c>
      <c r="C85" s="1">
        <v>9</v>
      </c>
      <c r="D85" s="1">
        <v>0.210647182449021</v>
      </c>
      <c r="E85" s="1">
        <v>-1.4541470300702199</v>
      </c>
    </row>
    <row r="86" spans="1:5" x14ac:dyDescent="0.35">
      <c r="A86">
        <v>20240331</v>
      </c>
      <c r="B86" s="2">
        <f t="shared" si="1"/>
        <v>45382</v>
      </c>
      <c r="C86" s="1">
        <v>8.6999999999999993</v>
      </c>
      <c r="D86" s="1">
        <v>-0.14947318529050699</v>
      </c>
      <c r="E86" s="1">
        <v>-0.61582567358523599</v>
      </c>
    </row>
    <row r="87" spans="1:5" x14ac:dyDescent="0.35">
      <c r="A87">
        <v>20240430</v>
      </c>
      <c r="B87" s="2">
        <f t="shared" si="1"/>
        <v>45412</v>
      </c>
      <c r="C87" s="1">
        <v>8.3000000000000007</v>
      </c>
      <c r="D87" s="1">
        <v>-0.68937403669720698</v>
      </c>
      <c r="E87" s="1">
        <v>-0.78118345710043402</v>
      </c>
    </row>
    <row r="88" spans="1:5" x14ac:dyDescent="0.35">
      <c r="A88">
        <v>20240531</v>
      </c>
      <c r="B88" s="2">
        <f t="shared" si="1"/>
        <v>45443</v>
      </c>
      <c r="C88" s="1">
        <v>8.4</v>
      </c>
      <c r="D88" s="1">
        <v>-0.219131137268335</v>
      </c>
      <c r="E88" s="1">
        <v>0.88769070116563298</v>
      </c>
    </row>
    <row r="89" spans="1:5" x14ac:dyDescent="0.35">
      <c r="A89">
        <v>20240630</v>
      </c>
      <c r="B89" s="2">
        <f t="shared" si="1"/>
        <v>45473</v>
      </c>
      <c r="C89" s="1">
        <v>8.1</v>
      </c>
      <c r="D89" s="1">
        <v>-0.64647358076756101</v>
      </c>
      <c r="E89" s="1">
        <v>-0.42628959818454698</v>
      </c>
    </row>
    <row r="90" spans="1:5" x14ac:dyDescent="0.35">
      <c r="A90">
        <v>20240731</v>
      </c>
      <c r="B90" s="2">
        <f t="shared" si="1"/>
        <v>45504</v>
      </c>
      <c r="C90" s="1">
        <v>8.1999999999999993</v>
      </c>
      <c r="D90" s="1">
        <v>-0.194491427373155</v>
      </c>
      <c r="E90" s="1">
        <v>0.88350530747862199</v>
      </c>
    </row>
    <row r="91" spans="1:5" x14ac:dyDescent="0.35">
      <c r="A91">
        <v>20240831</v>
      </c>
      <c r="B91" s="2">
        <f t="shared" si="1"/>
        <v>45535</v>
      </c>
      <c r="C91" s="1">
        <v>8.1</v>
      </c>
      <c r="D91" s="1">
        <v>-0.23748540149399899</v>
      </c>
      <c r="E91" s="1">
        <v>0.143294422936144</v>
      </c>
    </row>
    <row r="92" spans="1:5" x14ac:dyDescent="0.35">
      <c r="A92">
        <v>20240930</v>
      </c>
      <c r="B92" s="2">
        <f t="shared" si="1"/>
        <v>45565</v>
      </c>
      <c r="C92" s="1">
        <v>8</v>
      </c>
      <c r="D92" s="1">
        <v>-0.30730697053226802</v>
      </c>
      <c r="E92" s="1">
        <v>0.15321476709162399</v>
      </c>
    </row>
    <row r="93" spans="1:5" x14ac:dyDescent="0.35">
      <c r="A93">
        <v>20241031</v>
      </c>
      <c r="B93" s="2">
        <f t="shared" si="1"/>
        <v>45596</v>
      </c>
      <c r="C93" s="1">
        <v>7.8</v>
      </c>
      <c r="D93" s="1">
        <v>-0.66225565283438703</v>
      </c>
      <c r="E93" s="1">
        <v>-0.15243627302549501</v>
      </c>
    </row>
    <row r="94" spans="1:5" x14ac:dyDescent="0.35">
      <c r="A94">
        <v>20241130</v>
      </c>
      <c r="B94" s="2">
        <f t="shared" si="1"/>
        <v>45626</v>
      </c>
      <c r="C94" s="1">
        <v>7.8</v>
      </c>
      <c r="D94" s="1">
        <v>-0.43566217741951002</v>
      </c>
      <c r="E94" s="1">
        <v>0.497679552057602</v>
      </c>
    </row>
    <row r="95" spans="1:5" x14ac:dyDescent="0.35">
      <c r="A95">
        <v>20241231</v>
      </c>
      <c r="B95" s="2">
        <f t="shared" si="1"/>
        <v>45657</v>
      </c>
      <c r="C95" s="1">
        <v>8</v>
      </c>
      <c r="D95" s="1">
        <v>0.38110653320683702</v>
      </c>
      <c r="E95" s="1">
        <v>1.0218782197367999</v>
      </c>
    </row>
    <row r="96" spans="1:5" x14ac:dyDescent="0.35">
      <c r="A96">
        <v>20250131</v>
      </c>
      <c r="B96" s="2">
        <f t="shared" si="1"/>
        <v>45688</v>
      </c>
      <c r="C96" s="1">
        <v>8</v>
      </c>
      <c r="D96" s="1">
        <v>0.51053966877428003</v>
      </c>
      <c r="E96" s="1">
        <v>0.23042199423844201</v>
      </c>
    </row>
    <row r="97" spans="1:5" x14ac:dyDescent="0.35">
      <c r="A97">
        <v>20250228</v>
      </c>
      <c r="B97" s="2">
        <f t="shared" si="1"/>
        <v>45716</v>
      </c>
      <c r="C97" s="1">
        <v>8.1999999999999993</v>
      </c>
      <c r="D97" s="1">
        <v>1.2132989225473101</v>
      </c>
      <c r="E97" s="1">
        <v>0.79767051424829805</v>
      </c>
    </row>
    <row r="98" spans="1:5" x14ac:dyDescent="0.35">
      <c r="A98">
        <v>20250331</v>
      </c>
      <c r="B98" s="2">
        <f t="shared" si="1"/>
        <v>45747</v>
      </c>
      <c r="C98" s="1">
        <v>8.4</v>
      </c>
      <c r="D98" s="1">
        <v>1.7418176740639699</v>
      </c>
      <c r="E98" s="1">
        <v>0.68186996270871603</v>
      </c>
    </row>
    <row r="99" spans="1:5" x14ac:dyDescent="0.35">
      <c r="A99">
        <v>20250430</v>
      </c>
      <c r="B99" s="2">
        <f t="shared" si="1"/>
        <v>45777</v>
      </c>
      <c r="C99" s="1">
        <v>8.6999999999999993</v>
      </c>
      <c r="D99" s="1">
        <v>2.40863328219366</v>
      </c>
      <c r="E99" s="1">
        <v>0.92267161415394305</v>
      </c>
    </row>
    <row r="100" spans="1:5" x14ac:dyDescent="0.35">
      <c r="A100">
        <v>20250531</v>
      </c>
      <c r="B100" s="2">
        <f t="shared" si="1"/>
        <v>45808</v>
      </c>
      <c r="C100" s="1">
        <v>8.6999999999999993</v>
      </c>
      <c r="D100" s="1">
        <v>1.9996448085685401</v>
      </c>
      <c r="E100" s="1">
        <v>-0.35590353408526099</v>
      </c>
    </row>
    <row r="101" spans="1:5" x14ac:dyDescent="0.35">
      <c r="A101">
        <v>20250630</v>
      </c>
      <c r="B101" s="2">
        <f t="shared" si="1"/>
        <v>45838</v>
      </c>
      <c r="C101" s="1">
        <v>8.9</v>
      </c>
      <c r="D101" s="1">
        <v>2.2254651888927302</v>
      </c>
      <c r="E101" s="1">
        <v>0.392172186951182</v>
      </c>
    </row>
    <row r="102" spans="1:5" x14ac:dyDescent="0.35">
      <c r="A102">
        <v>20250731</v>
      </c>
      <c r="B102" s="2">
        <f t="shared" si="1"/>
        <v>45869</v>
      </c>
      <c r="C102" s="1">
        <v>9</v>
      </c>
      <c r="D102" s="1">
        <v>2.1690316674588801</v>
      </c>
      <c r="E102" s="1">
        <v>-6.6100711521678707E-2</v>
      </c>
    </row>
    <row r="103" spans="1:5" x14ac:dyDescent="0.35">
      <c r="A103">
        <v>20250831</v>
      </c>
      <c r="B103" s="2">
        <f t="shared" si="1"/>
        <v>45900</v>
      </c>
      <c r="C103" s="1">
        <v>8.8000000000000007</v>
      </c>
      <c r="D103" s="1">
        <v>1.40675317210777</v>
      </c>
      <c r="E103" s="1">
        <v>-1.2420253668400201</v>
      </c>
    </row>
    <row r="104" spans="1:5" x14ac:dyDescent="0.35">
      <c r="A104">
        <v>20250930</v>
      </c>
      <c r="B104" s="2">
        <f t="shared" si="1"/>
        <v>45930</v>
      </c>
      <c r="C104" s="1">
        <v>8.6999999999999993</v>
      </c>
      <c r="D104" s="1">
        <v>1.04712615758765</v>
      </c>
      <c r="E104" s="1">
        <v>-0.67636870964870299</v>
      </c>
    </row>
    <row r="105" spans="1:5" x14ac:dyDescent="0.35">
      <c r="A105">
        <v>20251031</v>
      </c>
      <c r="B105" s="2">
        <f t="shared" si="1"/>
        <v>45961</v>
      </c>
      <c r="C105" s="1">
        <v>8.5</v>
      </c>
      <c r="D105" s="1">
        <v>0.55992931023347703</v>
      </c>
      <c r="E105" s="1">
        <v>-0.96597521237862205</v>
      </c>
    </row>
    <row r="106" spans="1:5" x14ac:dyDescent="0.35">
      <c r="A106">
        <v>20251130</v>
      </c>
      <c r="B106" s="2">
        <f t="shared" si="1"/>
        <v>45991</v>
      </c>
      <c r="C106" s="1">
        <v>8.5</v>
      </c>
      <c r="D106" s="1">
        <v>0.57975716717127501</v>
      </c>
      <c r="E106" s="1">
        <v>-4.1675647079674603E-2</v>
      </c>
    </row>
    <row r="107" spans="1:5" x14ac:dyDescent="0.35">
      <c r="A107">
        <v>20251231</v>
      </c>
      <c r="B107" s="2">
        <f t="shared" si="1"/>
        <v>46022</v>
      </c>
      <c r="C107" s="1">
        <v>8.3000000000000007</v>
      </c>
      <c r="D107" s="1">
        <v>0.148420400636013</v>
      </c>
      <c r="E107" s="1">
        <v>-0.79642296326754303</v>
      </c>
    </row>
    <row r="108" spans="1:5" x14ac:dyDescent="0.35">
      <c r="A108">
        <v>20260131</v>
      </c>
      <c r="B108" s="2">
        <f t="shared" si="1"/>
        <v>46053</v>
      </c>
      <c r="C108" s="1">
        <v>8.1999999999999993</v>
      </c>
      <c r="D108" s="1">
        <v>-1.2471595794999501E-2</v>
      </c>
      <c r="E108" s="1">
        <v>-0.26101906245290302</v>
      </c>
    </row>
    <row r="109" spans="1:5" x14ac:dyDescent="0.35">
      <c r="A109">
        <v>20260228</v>
      </c>
      <c r="B109" s="2">
        <f t="shared" si="1"/>
        <v>46081</v>
      </c>
      <c r="C109" s="1">
        <v>8.1999999999999993</v>
      </c>
      <c r="D109" s="1">
        <v>6.4616580092756407E-2</v>
      </c>
      <c r="E109" s="1">
        <v>0.19592148276143001</v>
      </c>
    </row>
    <row r="110" spans="1:5" x14ac:dyDescent="0.35">
      <c r="A110">
        <v>20260331</v>
      </c>
      <c r="B110" s="2">
        <f t="shared" si="1"/>
        <v>46112</v>
      </c>
      <c r="C110" s="1">
        <v>7.9</v>
      </c>
      <c r="D110" s="1">
        <v>-0.51762471137235699</v>
      </c>
      <c r="E110" s="1">
        <v>-1.05481192606106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78D6-F646-4287-840B-EDE36FC4A862}">
  <dimension ref="A1:E118"/>
  <sheetViews>
    <sheetView workbookViewId="0">
      <selection activeCell="B2" sqref="B2"/>
    </sheetView>
  </sheetViews>
  <sheetFormatPr defaultRowHeight="14.15" x14ac:dyDescent="0.35"/>
  <cols>
    <col min="1" max="1" width="11.28515625" bestFit="1" customWidth="1"/>
    <col min="4" max="4" width="16.5" style="1" bestFit="1" customWidth="1"/>
    <col min="5" max="5" width="18.85546875" style="1" bestFit="1" customWidth="1"/>
  </cols>
  <sheetData>
    <row r="1" spans="1:5" x14ac:dyDescent="0.35">
      <c r="A1" t="s">
        <v>0</v>
      </c>
      <c r="C1" t="s">
        <v>3</v>
      </c>
      <c r="D1" s="1" t="s">
        <v>1</v>
      </c>
      <c r="E1" s="1" t="s">
        <v>2</v>
      </c>
    </row>
    <row r="2" spans="1:5" x14ac:dyDescent="0.35">
      <c r="A2">
        <v>20160731</v>
      </c>
      <c r="B2" s="2">
        <f>DATE(LEFT(A2,4),MID(A2,5,2),RIGHT(A2,2))</f>
        <v>42582</v>
      </c>
      <c r="C2">
        <v>25.4</v>
      </c>
      <c r="D2" s="1">
        <v>2.2181620552823</v>
      </c>
    </row>
    <row r="3" spans="1:5" x14ac:dyDescent="0.35">
      <c r="A3">
        <v>20160831</v>
      </c>
      <c r="B3" s="2">
        <f t="shared" ref="B3:B66" si="0">DATE(LEFT(A3,4),MID(A3,5,2),RIGHT(A3,2))</f>
        <v>42613</v>
      </c>
      <c r="C3">
        <v>25.3</v>
      </c>
      <c r="D3" s="1">
        <v>1.5771915398485099</v>
      </c>
      <c r="E3" s="1">
        <v>-0.344025991382576</v>
      </c>
    </row>
    <row r="4" spans="1:5" x14ac:dyDescent="0.35">
      <c r="A4">
        <v>20160930</v>
      </c>
      <c r="B4" s="2">
        <f t="shared" si="0"/>
        <v>42643</v>
      </c>
      <c r="C4">
        <v>24.7</v>
      </c>
      <c r="D4" s="1">
        <v>1.0386967982058299</v>
      </c>
      <c r="E4" s="1">
        <v>-0.43478545601771101</v>
      </c>
    </row>
    <row r="5" spans="1:5" x14ac:dyDescent="0.35">
      <c r="A5">
        <v>20161031</v>
      </c>
      <c r="B5" s="2">
        <f t="shared" si="0"/>
        <v>42674</v>
      </c>
      <c r="C5">
        <v>23.9</v>
      </c>
      <c r="D5" s="1">
        <v>0.59027149805039503</v>
      </c>
      <c r="E5" s="1">
        <v>-0.40961630123534198</v>
      </c>
    </row>
    <row r="6" spans="1:5" x14ac:dyDescent="0.35">
      <c r="A6">
        <v>20161130</v>
      </c>
      <c r="B6" s="2">
        <f t="shared" si="0"/>
        <v>42704</v>
      </c>
      <c r="C6">
        <v>22.7</v>
      </c>
      <c r="D6" s="1">
        <v>0.122860420851966</v>
      </c>
      <c r="E6" s="1">
        <v>-0.45547843018802298</v>
      </c>
    </row>
    <row r="7" spans="1:5" x14ac:dyDescent="0.35">
      <c r="A7">
        <v>20161231</v>
      </c>
      <c r="B7" s="2">
        <f t="shared" si="0"/>
        <v>42735</v>
      </c>
      <c r="C7">
        <v>21.4</v>
      </c>
      <c r="D7" s="1">
        <v>-0.29657539360832502</v>
      </c>
      <c r="E7" s="1">
        <v>-0.38866052125077399</v>
      </c>
    </row>
    <row r="8" spans="1:5" x14ac:dyDescent="0.35">
      <c r="A8">
        <v>20170131</v>
      </c>
      <c r="B8" s="2">
        <f t="shared" si="0"/>
        <v>42766</v>
      </c>
      <c r="C8">
        <v>14.5</v>
      </c>
      <c r="D8" s="1">
        <v>-2.2179241986156799</v>
      </c>
      <c r="E8" s="1">
        <v>-2.2723873087666302</v>
      </c>
    </row>
    <row r="9" spans="1:5" x14ac:dyDescent="0.35">
      <c r="A9">
        <v>20170228</v>
      </c>
      <c r="B9" s="2">
        <f t="shared" si="0"/>
        <v>42794</v>
      </c>
      <c r="C9">
        <v>21.4</v>
      </c>
      <c r="D9" s="1">
        <v>9.6185167151722095E-2</v>
      </c>
      <c r="E9" s="1">
        <v>2.8311437968242501</v>
      </c>
    </row>
    <row r="10" spans="1:5" x14ac:dyDescent="0.35">
      <c r="A10">
        <v>20170331</v>
      </c>
      <c r="B10" s="2">
        <f t="shared" si="0"/>
        <v>42825</v>
      </c>
      <c r="C10">
        <v>18.8</v>
      </c>
      <c r="D10" s="1">
        <v>-0.63745942585552196</v>
      </c>
      <c r="E10" s="1">
        <v>-0.68811414597704501</v>
      </c>
    </row>
    <row r="11" spans="1:5" x14ac:dyDescent="0.35">
      <c r="A11">
        <v>20170430</v>
      </c>
      <c r="B11" s="2">
        <f t="shared" si="0"/>
        <v>42855</v>
      </c>
      <c r="C11">
        <v>18.5</v>
      </c>
      <c r="D11" s="1">
        <v>-0.62907568423594096</v>
      </c>
      <c r="E11" s="1">
        <v>0.12462817411103699</v>
      </c>
    </row>
    <row r="12" spans="1:5" x14ac:dyDescent="0.35">
      <c r="A12">
        <v>20170531</v>
      </c>
      <c r="B12" s="2">
        <f t="shared" si="0"/>
        <v>42886</v>
      </c>
      <c r="C12">
        <v>17</v>
      </c>
      <c r="D12" s="1">
        <v>-0.94701713152600897</v>
      </c>
      <c r="E12" s="1">
        <v>-0.232787465510088</v>
      </c>
    </row>
    <row r="13" spans="1:5" x14ac:dyDescent="0.35">
      <c r="A13">
        <v>20170630</v>
      </c>
      <c r="B13" s="2">
        <f t="shared" si="0"/>
        <v>42916</v>
      </c>
      <c r="C13">
        <v>15</v>
      </c>
      <c r="D13" s="1">
        <v>-1.33569007654603</v>
      </c>
      <c r="E13" s="1">
        <v>-0.32274258500150699</v>
      </c>
    </row>
    <row r="14" spans="1:5" x14ac:dyDescent="0.35">
      <c r="A14">
        <v>20170731</v>
      </c>
      <c r="B14" s="2">
        <f t="shared" si="0"/>
        <v>42947</v>
      </c>
      <c r="C14">
        <v>15.3</v>
      </c>
      <c r="D14" s="1">
        <v>-1.0059023171234101</v>
      </c>
      <c r="E14" s="1">
        <v>0.46294679855008702</v>
      </c>
    </row>
    <row r="15" spans="1:5" x14ac:dyDescent="0.35">
      <c r="A15">
        <v>20170831</v>
      </c>
      <c r="B15" s="2">
        <f t="shared" si="0"/>
        <v>42978</v>
      </c>
      <c r="C15">
        <v>14</v>
      </c>
      <c r="D15" s="1">
        <v>-1.176999500088</v>
      </c>
      <c r="E15" s="1">
        <v>-9.2897586305818805E-2</v>
      </c>
    </row>
    <row r="16" spans="1:5" x14ac:dyDescent="0.35">
      <c r="A16">
        <v>20170930</v>
      </c>
      <c r="B16" s="2">
        <f t="shared" si="0"/>
        <v>43008</v>
      </c>
      <c r="C16">
        <v>14</v>
      </c>
      <c r="D16" s="1">
        <v>-0.95649722548290095</v>
      </c>
      <c r="E16" s="1">
        <v>0.35740845115307901</v>
      </c>
    </row>
    <row r="17" spans="1:5" x14ac:dyDescent="0.35">
      <c r="A17">
        <v>20171031</v>
      </c>
      <c r="B17" s="2">
        <f t="shared" si="0"/>
        <v>43039</v>
      </c>
      <c r="C17">
        <v>13</v>
      </c>
      <c r="D17" s="1">
        <v>-1.0472498559954999</v>
      </c>
      <c r="E17" s="1">
        <v>-3.0668843878802598E-3</v>
      </c>
    </row>
    <row r="18" spans="1:5" x14ac:dyDescent="0.35">
      <c r="A18">
        <v>20171130</v>
      </c>
      <c r="B18" s="2">
        <f t="shared" si="0"/>
        <v>43069</v>
      </c>
      <c r="C18">
        <v>12.7</v>
      </c>
      <c r="D18" s="1">
        <v>-0.92749320803483404</v>
      </c>
      <c r="E18" s="1">
        <v>0.24777083498167901</v>
      </c>
    </row>
    <row r="19" spans="1:5" x14ac:dyDescent="0.35">
      <c r="A19">
        <v>20171231</v>
      </c>
      <c r="B19" s="2">
        <f t="shared" si="0"/>
        <v>43100</v>
      </c>
      <c r="C19">
        <v>11.8</v>
      </c>
      <c r="D19" s="1">
        <v>-0.98992505689759203</v>
      </c>
      <c r="E19" s="1">
        <v>2.8392334615325199E-2</v>
      </c>
    </row>
    <row r="20" spans="1:5" x14ac:dyDescent="0.35">
      <c r="A20">
        <v>20180131</v>
      </c>
      <c r="B20" s="2">
        <f t="shared" si="0"/>
        <v>43131</v>
      </c>
      <c r="C20">
        <v>15</v>
      </c>
      <c r="D20" s="1">
        <v>6.6827783887817793E-2</v>
      </c>
      <c r="E20" s="1">
        <v>1.42407717414834</v>
      </c>
    </row>
    <row r="21" spans="1:5" x14ac:dyDescent="0.35">
      <c r="A21">
        <v>20180228</v>
      </c>
      <c r="B21" s="2">
        <f t="shared" si="0"/>
        <v>43159</v>
      </c>
      <c r="C21">
        <v>8.5</v>
      </c>
      <c r="D21" s="1">
        <v>-1.8285481641930601</v>
      </c>
      <c r="E21" s="1">
        <v>-2.04874844529117</v>
      </c>
    </row>
    <row r="22" spans="1:5" x14ac:dyDescent="0.35">
      <c r="A22">
        <v>20180331</v>
      </c>
      <c r="B22" s="2">
        <f t="shared" si="0"/>
        <v>43190</v>
      </c>
      <c r="C22">
        <v>7.1</v>
      </c>
      <c r="D22" s="1">
        <v>-1.81156696275267</v>
      </c>
      <c r="E22" s="1">
        <v>2.7849984393630602E-2</v>
      </c>
    </row>
    <row r="23" spans="1:5" x14ac:dyDescent="0.35">
      <c r="A23">
        <v>20180430</v>
      </c>
      <c r="B23" s="2">
        <f t="shared" si="0"/>
        <v>43220</v>
      </c>
      <c r="C23">
        <v>7.2</v>
      </c>
      <c r="D23" s="1">
        <v>-1.3526833118180801</v>
      </c>
      <c r="E23" s="1">
        <v>0.53008488296001799</v>
      </c>
    </row>
    <row r="24" spans="1:5" x14ac:dyDescent="0.35">
      <c r="A24">
        <v>20180531</v>
      </c>
      <c r="B24" s="2">
        <f t="shared" si="0"/>
        <v>43251</v>
      </c>
      <c r="C24">
        <v>6</v>
      </c>
      <c r="D24" s="1">
        <v>-1.37851596819546</v>
      </c>
      <c r="E24" s="1">
        <v>3.8041543419271802E-2</v>
      </c>
    </row>
    <row r="25" spans="1:5" x14ac:dyDescent="0.35">
      <c r="A25">
        <v>20180630</v>
      </c>
      <c r="B25" s="2">
        <f t="shared" si="0"/>
        <v>43281</v>
      </c>
      <c r="C25">
        <v>6.6</v>
      </c>
      <c r="D25" s="1">
        <v>-0.89539954579835102</v>
      </c>
      <c r="E25" s="1">
        <v>0.64700616516565301</v>
      </c>
    </row>
    <row r="26" spans="1:5" x14ac:dyDescent="0.35">
      <c r="A26">
        <v>20180731</v>
      </c>
      <c r="B26" s="2">
        <f t="shared" si="0"/>
        <v>43312</v>
      </c>
      <c r="C26">
        <v>5.0999999999999996</v>
      </c>
      <c r="D26" s="1">
        <v>-1.1155357316952199</v>
      </c>
      <c r="E26" s="1">
        <v>-0.14222905952095599</v>
      </c>
    </row>
    <row r="27" spans="1:5" x14ac:dyDescent="0.35">
      <c r="A27">
        <v>20180831</v>
      </c>
      <c r="B27" s="2">
        <f t="shared" si="0"/>
        <v>43343</v>
      </c>
      <c r="C27">
        <v>3.9</v>
      </c>
      <c r="D27" s="1">
        <v>-1.1889142711115701</v>
      </c>
      <c r="E27" s="1">
        <v>1.30436322804115E-3</v>
      </c>
    </row>
    <row r="28" spans="1:5" x14ac:dyDescent="0.35">
      <c r="A28">
        <v>20180930</v>
      </c>
      <c r="B28" s="2">
        <f t="shared" si="0"/>
        <v>43373</v>
      </c>
      <c r="C28">
        <v>4</v>
      </c>
      <c r="D28" s="1">
        <v>-0.87427649748598102</v>
      </c>
      <c r="E28" s="1">
        <v>0.46363790544554501</v>
      </c>
    </row>
    <row r="29" spans="1:5" x14ac:dyDescent="0.35">
      <c r="A29">
        <v>20181031</v>
      </c>
      <c r="B29" s="2">
        <f t="shared" si="0"/>
        <v>43404</v>
      </c>
      <c r="C29">
        <v>2.7</v>
      </c>
      <c r="D29" s="1">
        <v>-0.98643773785817301</v>
      </c>
      <c r="E29" s="1">
        <v>-7.6759227304637107E-2</v>
      </c>
    </row>
    <row r="30" spans="1:5" x14ac:dyDescent="0.35">
      <c r="A30">
        <v>20181130</v>
      </c>
      <c r="B30" s="2">
        <f t="shared" si="0"/>
        <v>43434</v>
      </c>
      <c r="C30">
        <v>1.5</v>
      </c>
      <c r="D30" s="1">
        <v>-1.0340120611340999</v>
      </c>
      <c r="E30" s="1">
        <v>-1.10137837916601E-2</v>
      </c>
    </row>
    <row r="31" spans="1:5" x14ac:dyDescent="0.35">
      <c r="A31">
        <v>20181231</v>
      </c>
      <c r="B31" s="2">
        <f t="shared" si="0"/>
        <v>43465</v>
      </c>
      <c r="C31">
        <v>1.5</v>
      </c>
      <c r="D31" s="1">
        <v>-0.74925134246231795</v>
      </c>
      <c r="E31" s="1">
        <v>0.43177424349251903</v>
      </c>
    </row>
    <row r="32" spans="1:5" x14ac:dyDescent="0.35">
      <c r="A32">
        <v>20190131</v>
      </c>
      <c r="B32" s="2">
        <f t="shared" si="0"/>
        <v>43496</v>
      </c>
      <c r="C32">
        <v>0.4</v>
      </c>
      <c r="D32" s="1">
        <v>-0.80887865704324902</v>
      </c>
      <c r="E32" s="1">
        <v>-1.24149691907708E-2</v>
      </c>
    </row>
    <row r="33" spans="1:5" x14ac:dyDescent="0.35">
      <c r="A33">
        <v>20190228</v>
      </c>
      <c r="B33" s="2">
        <f t="shared" si="0"/>
        <v>43524</v>
      </c>
      <c r="C33">
        <v>2</v>
      </c>
      <c r="D33" s="1">
        <v>-0.141933153061161</v>
      </c>
      <c r="E33" s="1">
        <v>0.97639749525366104</v>
      </c>
    </row>
    <row r="34" spans="1:5" x14ac:dyDescent="0.35">
      <c r="A34">
        <v>20190331</v>
      </c>
      <c r="B34" s="2">
        <f t="shared" si="0"/>
        <v>43555</v>
      </c>
      <c r="C34">
        <v>4.5999999999999996</v>
      </c>
      <c r="D34" s="1">
        <v>0.65233900531662203</v>
      </c>
      <c r="E34" s="1">
        <v>1.2061687801551499</v>
      </c>
    </row>
    <row r="35" spans="1:5" x14ac:dyDescent="0.35">
      <c r="A35">
        <v>20190430</v>
      </c>
      <c r="B35" s="2">
        <f t="shared" si="0"/>
        <v>43585</v>
      </c>
      <c r="C35">
        <v>2.9</v>
      </c>
      <c r="D35" s="1">
        <v>0.22165764763086299</v>
      </c>
      <c r="E35" s="1">
        <v>-0.696425313468648</v>
      </c>
    </row>
    <row r="36" spans="1:5" x14ac:dyDescent="0.35">
      <c r="A36">
        <v>20190531</v>
      </c>
      <c r="B36" s="2">
        <f t="shared" si="0"/>
        <v>43616</v>
      </c>
      <c r="C36">
        <v>3.4</v>
      </c>
      <c r="D36" s="1">
        <v>0.44609619379464299</v>
      </c>
      <c r="E36" s="1">
        <v>0.27642005496813998</v>
      </c>
    </row>
    <row r="37" spans="1:5" x14ac:dyDescent="0.35">
      <c r="A37">
        <v>20190630</v>
      </c>
      <c r="B37" s="2">
        <f t="shared" si="0"/>
        <v>43646</v>
      </c>
      <c r="C37">
        <v>4.4000000000000004</v>
      </c>
      <c r="D37" s="1">
        <v>0.76910543692390998</v>
      </c>
      <c r="E37" s="1">
        <v>0.41835165153720499</v>
      </c>
    </row>
    <row r="38" spans="1:5" x14ac:dyDescent="0.35">
      <c r="A38">
        <v>20190731</v>
      </c>
      <c r="B38" s="2">
        <f t="shared" si="0"/>
        <v>43677</v>
      </c>
      <c r="C38">
        <v>3.1</v>
      </c>
      <c r="D38" s="1">
        <v>0.406907490266389</v>
      </c>
      <c r="E38" s="1">
        <v>-0.57151117380221195</v>
      </c>
    </row>
    <row r="39" spans="1:5" x14ac:dyDescent="0.35">
      <c r="A39">
        <v>20190831</v>
      </c>
      <c r="B39" s="2">
        <f t="shared" si="0"/>
        <v>43708</v>
      </c>
      <c r="C39">
        <v>3.4</v>
      </c>
      <c r="D39" s="1">
        <v>0.66644166264484705</v>
      </c>
      <c r="E39" s="1">
        <v>0.156103057224738</v>
      </c>
    </row>
    <row r="40" spans="1:5" x14ac:dyDescent="0.35">
      <c r="A40">
        <v>20190930</v>
      </c>
      <c r="B40" s="2">
        <f t="shared" si="0"/>
        <v>43738</v>
      </c>
      <c r="C40">
        <v>3.4</v>
      </c>
      <c r="D40" s="1">
        <v>0.837986731160974</v>
      </c>
      <c r="E40" s="1">
        <v>2.15553743191872E-2</v>
      </c>
    </row>
    <row r="41" spans="1:5" x14ac:dyDescent="0.35">
      <c r="A41">
        <v>20191031</v>
      </c>
      <c r="B41" s="2">
        <f t="shared" si="0"/>
        <v>43769</v>
      </c>
      <c r="C41">
        <v>3.3</v>
      </c>
      <c r="D41" s="1">
        <v>0.96266209051592699</v>
      </c>
      <c r="E41" s="1">
        <v>-1.5700499114435801E-2</v>
      </c>
    </row>
    <row r="42" spans="1:5" x14ac:dyDescent="0.35">
      <c r="A42">
        <v>20191130</v>
      </c>
      <c r="B42" s="2">
        <f t="shared" si="0"/>
        <v>43799</v>
      </c>
      <c r="C42">
        <v>3.5</v>
      </c>
      <c r="D42" s="1">
        <v>1.1812417195096201</v>
      </c>
      <c r="E42" s="1">
        <v>0.11710322308332199</v>
      </c>
    </row>
    <row r="43" spans="1:5" x14ac:dyDescent="0.35">
      <c r="A43">
        <v>20191231</v>
      </c>
      <c r="B43" s="2">
        <f t="shared" si="0"/>
        <v>43830</v>
      </c>
      <c r="C43">
        <v>4.4000000000000004</v>
      </c>
      <c r="D43" s="1">
        <v>1.62063794332782</v>
      </c>
      <c r="E43" s="1">
        <v>0.37804392759876798</v>
      </c>
    </row>
    <row r="44" spans="1:5" x14ac:dyDescent="0.35">
      <c r="A44">
        <v>20200131</v>
      </c>
      <c r="B44" s="2">
        <f t="shared" si="0"/>
        <v>43861</v>
      </c>
      <c r="C44">
        <v>0</v>
      </c>
      <c r="D44" s="1">
        <v>-0.245492122404145</v>
      </c>
      <c r="E44" s="1">
        <v>-1.8045680544680001</v>
      </c>
    </row>
    <row r="45" spans="1:5" x14ac:dyDescent="0.35">
      <c r="A45">
        <v>20200229</v>
      </c>
      <c r="B45" s="2">
        <f t="shared" si="0"/>
        <v>43890</v>
      </c>
      <c r="C45">
        <v>4.8</v>
      </c>
      <c r="D45" s="1">
        <v>1.9771957443721899</v>
      </c>
      <c r="E45" s="1">
        <v>2.1301219787417298</v>
      </c>
    </row>
    <row r="46" spans="1:5" x14ac:dyDescent="0.35">
      <c r="A46">
        <v>20200331</v>
      </c>
      <c r="B46" s="2">
        <f t="shared" si="0"/>
        <v>43921</v>
      </c>
      <c r="C46">
        <v>5</v>
      </c>
      <c r="D46" s="1">
        <v>1.9262959494481999</v>
      </c>
      <c r="E46" s="1">
        <v>-4.1743406353356903E-2</v>
      </c>
    </row>
    <row r="47" spans="1:5" x14ac:dyDescent="0.35">
      <c r="A47">
        <v>20200430</v>
      </c>
      <c r="B47" s="2">
        <f t="shared" si="0"/>
        <v>43951</v>
      </c>
      <c r="C47">
        <v>5.5</v>
      </c>
      <c r="D47" s="1">
        <v>1.9080353020932901</v>
      </c>
      <c r="E47" s="1">
        <v>0.10796036500325901</v>
      </c>
    </row>
    <row r="48" spans="1:5" x14ac:dyDescent="0.35">
      <c r="A48">
        <v>20200531</v>
      </c>
      <c r="B48" s="2">
        <f t="shared" si="0"/>
        <v>43982</v>
      </c>
      <c r="C48">
        <v>6.8</v>
      </c>
      <c r="D48" s="1">
        <v>2.1727652158748199</v>
      </c>
      <c r="E48" s="1">
        <v>0.39378760852308398</v>
      </c>
    </row>
    <row r="49" spans="1:5" x14ac:dyDescent="0.35">
      <c r="A49">
        <v>20200630</v>
      </c>
      <c r="B49" s="2">
        <f t="shared" si="0"/>
        <v>44012</v>
      </c>
      <c r="C49">
        <v>6.5</v>
      </c>
      <c r="D49" s="1">
        <v>1.7228528782047201</v>
      </c>
      <c r="E49" s="1">
        <v>-0.29582467168222298</v>
      </c>
    </row>
    <row r="50" spans="1:5" x14ac:dyDescent="0.35">
      <c r="A50">
        <v>20200731</v>
      </c>
      <c r="B50" s="2">
        <f t="shared" si="0"/>
        <v>44043</v>
      </c>
      <c r="C50">
        <v>6.9</v>
      </c>
      <c r="D50" s="1">
        <v>1.6300426809439299</v>
      </c>
      <c r="E50" s="1">
        <v>1.9185921006181699E-2</v>
      </c>
    </row>
    <row r="51" spans="1:5" x14ac:dyDescent="0.35">
      <c r="A51">
        <v>20200831</v>
      </c>
      <c r="B51" s="2">
        <f t="shared" si="0"/>
        <v>44074</v>
      </c>
      <c r="C51">
        <v>8</v>
      </c>
      <c r="D51" s="1">
        <v>1.77895959424112</v>
      </c>
      <c r="E51" s="1">
        <v>0.36308717524504602</v>
      </c>
    </row>
    <row r="52" spans="1:5" x14ac:dyDescent="0.35">
      <c r="A52">
        <v>20200930</v>
      </c>
      <c r="B52" s="2">
        <f t="shared" si="0"/>
        <v>44104</v>
      </c>
      <c r="C52">
        <v>8.1</v>
      </c>
      <c r="D52" s="1">
        <v>1.5383196474405101</v>
      </c>
      <c r="E52" s="1">
        <v>-0.118295909517755</v>
      </c>
    </row>
    <row r="53" spans="1:5" x14ac:dyDescent="0.35">
      <c r="A53">
        <v>20201031</v>
      </c>
      <c r="B53" s="2">
        <f t="shared" si="0"/>
        <v>44135</v>
      </c>
      <c r="C53">
        <v>9.1</v>
      </c>
      <c r="D53" s="1">
        <v>1.6299000908172201</v>
      </c>
      <c r="E53" s="1">
        <v>0.26882747720031702</v>
      </c>
    </row>
    <row r="54" spans="1:5" x14ac:dyDescent="0.35">
      <c r="A54">
        <v>20201130</v>
      </c>
      <c r="B54" s="2">
        <f t="shared" si="0"/>
        <v>44165</v>
      </c>
      <c r="C54">
        <v>10</v>
      </c>
      <c r="D54" s="1">
        <v>1.6464065172420299</v>
      </c>
      <c r="E54" s="1">
        <v>0.17069551936333799</v>
      </c>
    </row>
    <row r="55" spans="1:5" x14ac:dyDescent="0.35">
      <c r="A55">
        <v>20201231</v>
      </c>
      <c r="B55" s="2">
        <f t="shared" si="0"/>
        <v>44196</v>
      </c>
      <c r="C55">
        <v>8.6</v>
      </c>
      <c r="D55" s="1">
        <v>0.95998470147424297</v>
      </c>
      <c r="E55" s="1">
        <v>-0.84081570683198703</v>
      </c>
    </row>
    <row r="56" spans="1:5" x14ac:dyDescent="0.35">
      <c r="A56">
        <v>20210131</v>
      </c>
      <c r="B56" s="2">
        <f t="shared" si="0"/>
        <v>44227</v>
      </c>
      <c r="C56">
        <v>14.7</v>
      </c>
      <c r="D56" s="1">
        <v>2.6262702727041001</v>
      </c>
      <c r="E56" s="1">
        <v>2.4375282650287802</v>
      </c>
    </row>
    <row r="57" spans="1:5" x14ac:dyDescent="0.35">
      <c r="A57">
        <v>20210228</v>
      </c>
      <c r="B57" s="2">
        <f t="shared" si="0"/>
        <v>44255</v>
      </c>
      <c r="C57">
        <v>7.4</v>
      </c>
      <c r="D57" s="1">
        <v>7.4059353554976101E-2</v>
      </c>
      <c r="E57" s="1">
        <v>-3</v>
      </c>
    </row>
    <row r="58" spans="1:5" x14ac:dyDescent="0.35">
      <c r="A58">
        <v>20210331</v>
      </c>
      <c r="B58" s="2">
        <f t="shared" si="0"/>
        <v>44286</v>
      </c>
      <c r="C58">
        <v>7.1</v>
      </c>
      <c r="D58" s="1">
        <v>-1.02245969329176E-2</v>
      </c>
      <c r="E58" s="1">
        <v>-4.7171920620804102E-2</v>
      </c>
    </row>
    <row r="59" spans="1:5" x14ac:dyDescent="0.35">
      <c r="A59">
        <v>20210430</v>
      </c>
      <c r="B59" s="2">
        <f t="shared" si="0"/>
        <v>44316</v>
      </c>
      <c r="C59">
        <v>6.2</v>
      </c>
      <c r="D59" s="1">
        <v>-0.27044798612457199</v>
      </c>
      <c r="E59" s="1">
        <v>-0.31907120176574899</v>
      </c>
    </row>
    <row r="60" spans="1:5" x14ac:dyDescent="0.35">
      <c r="A60">
        <v>20210531</v>
      </c>
      <c r="B60" s="2">
        <f t="shared" si="0"/>
        <v>44347</v>
      </c>
      <c r="C60">
        <v>6.1</v>
      </c>
      <c r="D60" s="1">
        <v>-0.25749595296956601</v>
      </c>
      <c r="E60" s="1">
        <v>7.9268980474774403E-2</v>
      </c>
    </row>
    <row r="61" spans="1:5" x14ac:dyDescent="0.35">
      <c r="A61">
        <v>20210630</v>
      </c>
      <c r="B61" s="2">
        <f t="shared" si="0"/>
        <v>44377</v>
      </c>
      <c r="C61">
        <v>5.5</v>
      </c>
      <c r="D61" s="1">
        <v>-0.41391598671542401</v>
      </c>
      <c r="E61" s="1">
        <v>-0.16067722593112299</v>
      </c>
    </row>
    <row r="62" spans="1:5" x14ac:dyDescent="0.35">
      <c r="A62">
        <v>20210731</v>
      </c>
      <c r="B62" s="2">
        <f t="shared" si="0"/>
        <v>44408</v>
      </c>
      <c r="C62">
        <v>4.9000000000000004</v>
      </c>
      <c r="D62" s="1">
        <v>-0.53797301498409</v>
      </c>
      <c r="E62" s="1">
        <v>-0.14921227383650801</v>
      </c>
    </row>
    <row r="63" spans="1:5" x14ac:dyDescent="0.35">
      <c r="A63">
        <v>20210831</v>
      </c>
      <c r="B63" s="2">
        <f t="shared" si="0"/>
        <v>44439</v>
      </c>
      <c r="C63">
        <v>4.2</v>
      </c>
      <c r="D63" s="1">
        <v>-0.696561479562534</v>
      </c>
      <c r="E63" s="1">
        <v>-0.16168139148621999</v>
      </c>
    </row>
    <row r="64" spans="1:5" x14ac:dyDescent="0.35">
      <c r="A64">
        <v>20210930</v>
      </c>
      <c r="B64" s="2">
        <f t="shared" si="0"/>
        <v>44469</v>
      </c>
      <c r="C64">
        <v>3.7</v>
      </c>
      <c r="D64" s="1">
        <v>-0.78448881922293601</v>
      </c>
      <c r="E64" s="1">
        <v>-5.5583054731835703E-2</v>
      </c>
    </row>
    <row r="65" spans="1:5" x14ac:dyDescent="0.35">
      <c r="A65">
        <v>20211031</v>
      </c>
      <c r="B65" s="2">
        <f t="shared" si="0"/>
        <v>44500</v>
      </c>
      <c r="C65">
        <v>2.8</v>
      </c>
      <c r="D65" s="1">
        <v>-0.98954226143098001</v>
      </c>
      <c r="E65" s="1">
        <v>-0.21623545099809699</v>
      </c>
    </row>
    <row r="66" spans="1:5" x14ac:dyDescent="0.35">
      <c r="A66">
        <v>20211130</v>
      </c>
      <c r="B66" s="2">
        <f t="shared" si="0"/>
        <v>44530</v>
      </c>
      <c r="C66">
        <v>3</v>
      </c>
      <c r="D66" s="1">
        <v>-0.79222546438605201</v>
      </c>
      <c r="E66" s="1">
        <v>0.29375256193664401</v>
      </c>
    </row>
    <row r="67" spans="1:5" x14ac:dyDescent="0.35">
      <c r="A67">
        <v>20211231</v>
      </c>
      <c r="B67" s="2">
        <f t="shared" ref="B67:B118" si="1">DATE(LEFT(A67,4),MID(A67,5,2),RIGHT(A67,2))</f>
        <v>44561</v>
      </c>
      <c r="C67">
        <v>3.5</v>
      </c>
      <c r="D67" s="1">
        <v>-0.530859230319501</v>
      </c>
      <c r="E67" s="1">
        <v>0.374025641125875</v>
      </c>
    </row>
    <row r="68" spans="1:5" x14ac:dyDescent="0.35">
      <c r="A68">
        <v>20220131</v>
      </c>
      <c r="B68" s="2">
        <f t="shared" si="1"/>
        <v>44592</v>
      </c>
      <c r="C68">
        <v>-1.9</v>
      </c>
      <c r="D68" s="1">
        <v>-2.6055190973370399</v>
      </c>
      <c r="E68" s="1">
        <v>-2.25339852624723</v>
      </c>
    </row>
    <row r="69" spans="1:5" x14ac:dyDescent="0.35">
      <c r="A69">
        <v>20220228</v>
      </c>
      <c r="B69" s="2">
        <f t="shared" si="1"/>
        <v>44620</v>
      </c>
      <c r="C69">
        <v>4.7</v>
      </c>
      <c r="D69" s="1">
        <v>0.39054088593125402</v>
      </c>
      <c r="E69" s="1">
        <v>3</v>
      </c>
    </row>
    <row r="70" spans="1:5" x14ac:dyDescent="0.35">
      <c r="A70">
        <v>20220331</v>
      </c>
      <c r="B70" s="2">
        <f t="shared" si="1"/>
        <v>44651</v>
      </c>
      <c r="C70">
        <v>4.7</v>
      </c>
      <c r="D70" s="1">
        <v>0.30607832236406401</v>
      </c>
      <c r="E70" s="1">
        <v>-0.119449562613692</v>
      </c>
    </row>
    <row r="71" spans="1:5" x14ac:dyDescent="0.35">
      <c r="A71">
        <v>20220430</v>
      </c>
      <c r="B71" s="2">
        <f t="shared" si="1"/>
        <v>44681</v>
      </c>
      <c r="C71">
        <v>5.0999999999999996</v>
      </c>
      <c r="D71" s="1">
        <v>0.41013843440926301</v>
      </c>
      <c r="E71" s="1">
        <v>5.1500325109668003E-2</v>
      </c>
    </row>
    <row r="72" spans="1:5" x14ac:dyDescent="0.35">
      <c r="A72">
        <v>20220531</v>
      </c>
      <c r="B72" s="2">
        <f t="shared" si="1"/>
        <v>44712</v>
      </c>
      <c r="C72">
        <v>4.5999999999999996</v>
      </c>
      <c r="D72" s="1">
        <v>0.133424360474167</v>
      </c>
      <c r="E72" s="1">
        <v>-0.32999722823409</v>
      </c>
    </row>
    <row r="73" spans="1:5" x14ac:dyDescent="0.35">
      <c r="A73">
        <v>20220630</v>
      </c>
      <c r="B73" s="2">
        <f t="shared" si="1"/>
        <v>44742</v>
      </c>
      <c r="C73">
        <v>5.8</v>
      </c>
      <c r="D73" s="1">
        <v>0.55935622568100996</v>
      </c>
      <c r="E73" s="1">
        <v>0.41535356165993298</v>
      </c>
    </row>
    <row r="74" spans="1:5" x14ac:dyDescent="0.35">
      <c r="A74">
        <v>20220731</v>
      </c>
      <c r="B74" s="2">
        <f t="shared" si="1"/>
        <v>44773</v>
      </c>
      <c r="C74">
        <v>6.7</v>
      </c>
      <c r="D74" s="1">
        <v>0.79938509220941101</v>
      </c>
      <c r="E74" s="1">
        <v>0.22310822862021401</v>
      </c>
    </row>
    <row r="75" spans="1:5" x14ac:dyDescent="0.35">
      <c r="A75">
        <v>20220831</v>
      </c>
      <c r="B75" s="2">
        <f t="shared" si="1"/>
        <v>44804</v>
      </c>
      <c r="C75">
        <v>6.1</v>
      </c>
      <c r="D75" s="1">
        <v>0.40724237837257099</v>
      </c>
      <c r="E75" s="1">
        <v>-0.45141017142013201</v>
      </c>
    </row>
    <row r="76" spans="1:5" x14ac:dyDescent="0.35">
      <c r="A76">
        <v>20220930</v>
      </c>
      <c r="B76" s="2">
        <f t="shared" si="1"/>
        <v>44834</v>
      </c>
      <c r="C76">
        <v>6.4</v>
      </c>
      <c r="D76" s="1">
        <v>0.42930475809302898</v>
      </c>
      <c r="E76" s="1">
        <v>-1.5258802072374801E-2</v>
      </c>
    </row>
    <row r="77" spans="1:5" x14ac:dyDescent="0.35">
      <c r="A77">
        <v>20221031</v>
      </c>
      <c r="B77" s="2">
        <f t="shared" si="1"/>
        <v>44865</v>
      </c>
      <c r="C77">
        <v>5.8</v>
      </c>
      <c r="D77" s="1">
        <v>0.10463732560587501</v>
      </c>
      <c r="E77" s="1">
        <v>-0.38636706225369599</v>
      </c>
    </row>
    <row r="78" spans="1:5" x14ac:dyDescent="0.35">
      <c r="A78">
        <v>20221130</v>
      </c>
      <c r="B78" s="2">
        <f t="shared" si="1"/>
        <v>44895</v>
      </c>
      <c r="C78">
        <v>4.5999999999999996</v>
      </c>
      <c r="D78" s="1">
        <v>-0.39132466025518797</v>
      </c>
      <c r="E78" s="1">
        <v>-0.58034266502492404</v>
      </c>
    </row>
    <row r="79" spans="1:5" x14ac:dyDescent="0.35">
      <c r="A79">
        <v>20221231</v>
      </c>
      <c r="B79" s="2">
        <f t="shared" si="1"/>
        <v>44926</v>
      </c>
      <c r="C79">
        <v>3.7</v>
      </c>
      <c r="D79" s="1">
        <v>-0.68183794496670402</v>
      </c>
      <c r="E79" s="1">
        <v>-0.36610883620324203</v>
      </c>
    </row>
    <row r="80" spans="1:5" x14ac:dyDescent="0.35">
      <c r="A80">
        <v>20230131</v>
      </c>
      <c r="B80" s="2">
        <f t="shared" si="1"/>
        <v>44957</v>
      </c>
      <c r="C80">
        <v>6.7</v>
      </c>
      <c r="D80" s="1">
        <v>0.55947935408329996</v>
      </c>
      <c r="E80" s="1">
        <v>1.30227717570332</v>
      </c>
    </row>
    <row r="81" spans="1:5" x14ac:dyDescent="0.35">
      <c r="A81">
        <v>20230228</v>
      </c>
      <c r="B81" s="2">
        <f t="shared" si="1"/>
        <v>44985</v>
      </c>
      <c r="C81">
        <v>5.8</v>
      </c>
      <c r="D81" s="1">
        <v>6.7898091028970403E-2</v>
      </c>
      <c r="E81" s="1">
        <v>-0.52845494031973095</v>
      </c>
    </row>
    <row r="82" spans="1:5" x14ac:dyDescent="0.35">
      <c r="A82">
        <v>20230331</v>
      </c>
      <c r="B82" s="2">
        <f t="shared" si="1"/>
        <v>45016</v>
      </c>
      <c r="C82">
        <v>5.0999999999999996</v>
      </c>
      <c r="D82" s="1">
        <v>-0.22481257234071</v>
      </c>
      <c r="E82" s="1">
        <v>-0.34741519216829098</v>
      </c>
    </row>
    <row r="83" spans="1:5" x14ac:dyDescent="0.35">
      <c r="A83">
        <v>20230430</v>
      </c>
      <c r="B83" s="2">
        <f t="shared" si="1"/>
        <v>45046</v>
      </c>
      <c r="C83">
        <v>5.3</v>
      </c>
      <c r="D83" s="1">
        <v>-0.113979772071128</v>
      </c>
      <c r="E83" s="1">
        <v>0.10185760572095</v>
      </c>
    </row>
    <row r="84" spans="1:5" x14ac:dyDescent="0.35">
      <c r="A84">
        <v>20230531</v>
      </c>
      <c r="B84" s="2">
        <f t="shared" si="1"/>
        <v>45077</v>
      </c>
      <c r="C84">
        <v>4.7</v>
      </c>
      <c r="D84" s="1">
        <v>-0.32938934673689901</v>
      </c>
      <c r="E84" s="1">
        <v>-0.262123372924153</v>
      </c>
    </row>
    <row r="85" spans="1:5" x14ac:dyDescent="0.35">
      <c r="A85">
        <v>20230630</v>
      </c>
      <c r="B85" s="2">
        <f t="shared" si="1"/>
        <v>45107</v>
      </c>
      <c r="C85">
        <v>3.1</v>
      </c>
      <c r="D85" s="1">
        <v>-0.894012764218719</v>
      </c>
      <c r="E85" s="1">
        <v>-0.62785048359066398</v>
      </c>
    </row>
    <row r="86" spans="1:5" x14ac:dyDescent="0.35">
      <c r="A86">
        <v>20230731</v>
      </c>
      <c r="B86" s="2">
        <f t="shared" si="1"/>
        <v>45138</v>
      </c>
      <c r="C86">
        <v>2.2999999999999998</v>
      </c>
      <c r="D86" s="1">
        <v>-1.03442284956957</v>
      </c>
      <c r="E86" s="1">
        <v>-0.17604288599022699</v>
      </c>
    </row>
    <row r="87" spans="1:5" x14ac:dyDescent="0.35">
      <c r="A87">
        <v>20230831</v>
      </c>
      <c r="B87" s="2">
        <f t="shared" si="1"/>
        <v>45169</v>
      </c>
      <c r="C87">
        <v>2.2000000000000002</v>
      </c>
      <c r="D87" s="1">
        <v>-0.86119057003369903</v>
      </c>
      <c r="E87" s="1">
        <v>0.13749482210376801</v>
      </c>
    </row>
    <row r="88" spans="1:5" x14ac:dyDescent="0.35">
      <c r="A88">
        <v>20230930</v>
      </c>
      <c r="B88" s="2">
        <f t="shared" si="1"/>
        <v>45199</v>
      </c>
      <c r="C88">
        <v>2.1</v>
      </c>
      <c r="D88" s="1">
        <v>-0.71294587334628601</v>
      </c>
      <c r="E88" s="1">
        <v>0.119837101104786</v>
      </c>
    </row>
    <row r="89" spans="1:5" x14ac:dyDescent="0.35">
      <c r="A89">
        <v>20231031</v>
      </c>
      <c r="B89" s="2">
        <f t="shared" si="1"/>
        <v>45230</v>
      </c>
      <c r="C89">
        <v>1.9</v>
      </c>
      <c r="D89" s="1">
        <v>-0.62433637631387096</v>
      </c>
      <c r="E89" s="1">
        <v>6.06490701509571E-2</v>
      </c>
    </row>
    <row r="90" spans="1:5" x14ac:dyDescent="0.35">
      <c r="A90">
        <v>20231130</v>
      </c>
      <c r="B90" s="2">
        <f t="shared" si="1"/>
        <v>45260</v>
      </c>
      <c r="C90">
        <v>1.3</v>
      </c>
      <c r="D90" s="1">
        <v>-0.70844645363255498</v>
      </c>
      <c r="E90" s="1">
        <v>-0.11423322645148699</v>
      </c>
    </row>
    <row r="91" spans="1:5" x14ac:dyDescent="0.35">
      <c r="A91">
        <v>20231231</v>
      </c>
      <c r="B91" s="2">
        <f t="shared" si="1"/>
        <v>45291</v>
      </c>
      <c r="C91">
        <v>1.3</v>
      </c>
      <c r="D91" s="1">
        <v>-0.51863671495128005</v>
      </c>
      <c r="E91" s="1">
        <v>0.159907280333632</v>
      </c>
    </row>
    <row r="92" spans="1:5" x14ac:dyDescent="0.35">
      <c r="A92">
        <v>20240131</v>
      </c>
      <c r="B92" s="2">
        <f t="shared" si="1"/>
        <v>45322</v>
      </c>
      <c r="C92">
        <v>3.3</v>
      </c>
      <c r="D92" s="1">
        <v>0.516869580999057</v>
      </c>
      <c r="E92" s="1">
        <v>0.97668913257080203</v>
      </c>
    </row>
    <row r="93" spans="1:5" x14ac:dyDescent="0.35">
      <c r="A93">
        <v>20240229</v>
      </c>
      <c r="B93" s="2">
        <f t="shared" si="1"/>
        <v>45351</v>
      </c>
      <c r="C93">
        <v>2.6</v>
      </c>
      <c r="D93" s="1">
        <v>0.34081865582238802</v>
      </c>
      <c r="E93" s="1">
        <v>-0.36464484701830902</v>
      </c>
    </row>
    <row r="94" spans="1:5" x14ac:dyDescent="0.35">
      <c r="A94">
        <v>20240331</v>
      </c>
      <c r="B94" s="2">
        <f t="shared" si="1"/>
        <v>45382</v>
      </c>
      <c r="C94">
        <v>2.2999999999999998</v>
      </c>
      <c r="D94" s="1">
        <v>0.19635259301928601</v>
      </c>
      <c r="E94" s="1">
        <v>-9.3060894451106699E-2</v>
      </c>
    </row>
    <row r="95" spans="1:5" x14ac:dyDescent="0.35">
      <c r="A95">
        <v>20240430</v>
      </c>
      <c r="B95" s="2">
        <f t="shared" si="1"/>
        <v>45412</v>
      </c>
      <c r="C95">
        <v>0.6</v>
      </c>
      <c r="D95" s="1">
        <v>-0.69430515976653195</v>
      </c>
      <c r="E95" s="1">
        <v>-0.71061638151941997</v>
      </c>
    </row>
    <row r="96" spans="1:5" x14ac:dyDescent="0.35">
      <c r="A96">
        <v>20240531</v>
      </c>
      <c r="B96" s="2">
        <f t="shared" si="1"/>
        <v>45443</v>
      </c>
      <c r="C96">
        <v>-0.8</v>
      </c>
      <c r="D96" s="1">
        <v>-1.2666122347009401</v>
      </c>
      <c r="E96" s="1">
        <v>-0.44182589455321197</v>
      </c>
    </row>
    <row r="97" spans="1:5" x14ac:dyDescent="0.35">
      <c r="A97">
        <v>20240630</v>
      </c>
      <c r="B97" s="2">
        <f t="shared" si="1"/>
        <v>45473</v>
      </c>
      <c r="C97">
        <v>-1.7</v>
      </c>
      <c r="D97" s="1">
        <v>-1.43041892676838</v>
      </c>
      <c r="E97" s="1">
        <v>-0.122263487387748</v>
      </c>
    </row>
    <row r="98" spans="1:5" x14ac:dyDescent="0.35">
      <c r="A98">
        <v>20240731</v>
      </c>
      <c r="B98" s="2">
        <f t="shared" si="1"/>
        <v>45504</v>
      </c>
      <c r="C98">
        <v>-2.6</v>
      </c>
      <c r="D98" s="1">
        <v>-1.5479800752639901</v>
      </c>
      <c r="E98" s="1">
        <v>-9.7857341257137798E-2</v>
      </c>
    </row>
    <row r="99" spans="1:5" x14ac:dyDescent="0.35">
      <c r="A99">
        <v>20240831</v>
      </c>
      <c r="B99" s="2">
        <f t="shared" si="1"/>
        <v>45535</v>
      </c>
      <c r="C99">
        <v>-3</v>
      </c>
      <c r="D99" s="1">
        <v>-1.3725495197806199</v>
      </c>
      <c r="E99" s="1">
        <v>0.15602727044481601</v>
      </c>
    </row>
    <row r="100" spans="1:5" x14ac:dyDescent="0.35">
      <c r="A100">
        <v>20240930</v>
      </c>
      <c r="B100" s="2">
        <f t="shared" si="1"/>
        <v>45565</v>
      </c>
      <c r="C100">
        <v>-3.3</v>
      </c>
      <c r="D100" s="1">
        <v>-1.1912452673645799</v>
      </c>
      <c r="E100" s="1">
        <v>0.19178273781754801</v>
      </c>
    </row>
    <row r="101" spans="1:5" x14ac:dyDescent="0.35">
      <c r="A101">
        <v>20241031</v>
      </c>
      <c r="B101" s="2">
        <f t="shared" si="1"/>
        <v>45596</v>
      </c>
      <c r="C101">
        <v>-2.2999999999999998</v>
      </c>
      <c r="D101" s="1">
        <v>-0.40542477886946998</v>
      </c>
      <c r="E101" s="1">
        <v>0.755787445688333</v>
      </c>
    </row>
    <row r="102" spans="1:5" x14ac:dyDescent="0.35">
      <c r="A102">
        <v>20241130</v>
      </c>
      <c r="B102" s="2">
        <f t="shared" si="1"/>
        <v>45626</v>
      </c>
      <c r="C102">
        <v>-0.7</v>
      </c>
      <c r="D102" s="1">
        <v>0.52654563475605498</v>
      </c>
      <c r="E102" s="1">
        <v>0.90730540707821405</v>
      </c>
    </row>
    <row r="103" spans="1:5" x14ac:dyDescent="0.35">
      <c r="A103">
        <v>20241231</v>
      </c>
      <c r="B103" s="2">
        <f t="shared" si="1"/>
        <v>45657</v>
      </c>
      <c r="C103">
        <v>1.2</v>
      </c>
      <c r="D103" s="1">
        <v>1.4561720309781401</v>
      </c>
      <c r="E103" s="1">
        <v>0.88942378065640204</v>
      </c>
    </row>
    <row r="104" spans="1:5" x14ac:dyDescent="0.35">
      <c r="A104">
        <v>20250131</v>
      </c>
      <c r="B104" s="2">
        <f t="shared" si="1"/>
        <v>45688</v>
      </c>
      <c r="C104">
        <v>0.4</v>
      </c>
      <c r="D104" s="1">
        <v>0.83831296833991797</v>
      </c>
      <c r="E104" s="1">
        <v>-0.48734936429603498</v>
      </c>
    </row>
    <row r="105" spans="1:5" x14ac:dyDescent="0.35">
      <c r="A105">
        <v>20250228</v>
      </c>
      <c r="B105" s="2">
        <f t="shared" si="1"/>
        <v>45716</v>
      </c>
      <c r="C105">
        <v>0.1</v>
      </c>
      <c r="D105" s="1">
        <v>0.60293295476890496</v>
      </c>
      <c r="E105" s="1">
        <v>-0.134221736188295</v>
      </c>
    </row>
    <row r="106" spans="1:5" x14ac:dyDescent="0.35">
      <c r="A106">
        <v>20250331</v>
      </c>
      <c r="B106" s="2">
        <f t="shared" si="1"/>
        <v>45747</v>
      </c>
      <c r="C106">
        <v>1.6</v>
      </c>
      <c r="D106" s="1">
        <v>1.42537292070931</v>
      </c>
      <c r="E106" s="1">
        <v>0.85326399976186296</v>
      </c>
    </row>
    <row r="107" spans="1:5" x14ac:dyDescent="0.35">
      <c r="A107">
        <v>20250430</v>
      </c>
      <c r="B107" s="2">
        <f t="shared" si="1"/>
        <v>45777</v>
      </c>
      <c r="C107">
        <v>1.5</v>
      </c>
      <c r="D107" s="1">
        <v>1.1761104105404301</v>
      </c>
      <c r="E107" s="1">
        <v>-0.26030793594504198</v>
      </c>
    </row>
    <row r="108" spans="1:5" x14ac:dyDescent="0.35">
      <c r="A108">
        <v>20250531</v>
      </c>
      <c r="B108" s="2">
        <f t="shared" si="1"/>
        <v>45808</v>
      </c>
      <c r="C108">
        <v>2.2999999999999998</v>
      </c>
      <c r="D108" s="1">
        <v>1.4802441266223201</v>
      </c>
      <c r="E108" s="1">
        <v>0.30728159369871499</v>
      </c>
    </row>
    <row r="109" spans="1:5" x14ac:dyDescent="0.35">
      <c r="A109">
        <v>20250630</v>
      </c>
      <c r="B109" s="2">
        <f t="shared" si="1"/>
        <v>45838</v>
      </c>
      <c r="C109">
        <v>4.5999999999999996</v>
      </c>
      <c r="D109" s="1">
        <v>2.4799775086754998</v>
      </c>
      <c r="E109" s="1">
        <v>1.1441697107301301</v>
      </c>
    </row>
    <row r="110" spans="1:5" x14ac:dyDescent="0.35">
      <c r="A110">
        <v>20250731</v>
      </c>
      <c r="B110" s="2">
        <f t="shared" si="1"/>
        <v>45869</v>
      </c>
      <c r="C110">
        <v>5.6</v>
      </c>
      <c r="D110" s="1">
        <v>2.4849866692542402</v>
      </c>
      <c r="E110" s="1">
        <v>0.15392145122494799</v>
      </c>
    </row>
    <row r="111" spans="1:5" x14ac:dyDescent="0.35">
      <c r="A111">
        <v>20250831</v>
      </c>
      <c r="B111" s="2">
        <f t="shared" si="1"/>
        <v>45900</v>
      </c>
      <c r="C111">
        <v>6</v>
      </c>
      <c r="D111" s="1">
        <v>2.1893900366483598</v>
      </c>
      <c r="E111" s="1">
        <v>-0.243247471199488</v>
      </c>
    </row>
    <row r="112" spans="1:5" x14ac:dyDescent="0.35">
      <c r="A112">
        <v>20250930</v>
      </c>
      <c r="B112" s="2">
        <f t="shared" si="1"/>
        <v>45930</v>
      </c>
      <c r="C112">
        <v>7.2</v>
      </c>
      <c r="D112" s="1">
        <v>2.2915303779707101</v>
      </c>
      <c r="E112" s="1">
        <v>0.25256579490113301</v>
      </c>
    </row>
    <row r="113" spans="1:5" x14ac:dyDescent="0.35">
      <c r="A113">
        <v>20251031</v>
      </c>
      <c r="B113" s="2">
        <f t="shared" si="1"/>
        <v>45961</v>
      </c>
      <c r="C113">
        <v>6.2</v>
      </c>
      <c r="D113" s="1">
        <v>1.3945149047838299</v>
      </c>
      <c r="E113" s="1">
        <v>-1.1045882419719</v>
      </c>
    </row>
    <row r="114" spans="1:5" x14ac:dyDescent="0.35">
      <c r="A114">
        <v>20251130</v>
      </c>
      <c r="B114" s="2">
        <f t="shared" si="1"/>
        <v>45991</v>
      </c>
      <c r="C114">
        <v>4.9000000000000004</v>
      </c>
      <c r="D114" s="1">
        <v>0.61342034224284403</v>
      </c>
      <c r="E114" s="1">
        <v>-1.09790933829948</v>
      </c>
    </row>
    <row r="115" spans="1:5" x14ac:dyDescent="0.35">
      <c r="A115">
        <v>20251231</v>
      </c>
      <c r="B115" s="2">
        <f t="shared" si="1"/>
        <v>46022</v>
      </c>
      <c r="C115">
        <v>3.8</v>
      </c>
      <c r="D115" s="1">
        <v>6.4144496943554605E-2</v>
      </c>
      <c r="E115" s="1">
        <v>-0.78540237101451305</v>
      </c>
    </row>
    <row r="116" spans="1:5" x14ac:dyDescent="0.35">
      <c r="A116">
        <v>20260131</v>
      </c>
      <c r="B116" s="2">
        <f t="shared" si="1"/>
        <v>46053</v>
      </c>
      <c r="C116">
        <v>4.9000000000000004</v>
      </c>
      <c r="D116" s="1">
        <v>0.50427670025377502</v>
      </c>
      <c r="E116" s="1">
        <v>0.62089905102725695</v>
      </c>
    </row>
    <row r="117" spans="1:5" x14ac:dyDescent="0.35">
      <c r="A117">
        <v>20260228</v>
      </c>
      <c r="B117" s="2">
        <f t="shared" si="1"/>
        <v>46081</v>
      </c>
      <c r="C117">
        <v>5.9</v>
      </c>
      <c r="D117" s="1">
        <v>0.861568265490674</v>
      </c>
      <c r="E117" s="1">
        <v>0.43242634597206597</v>
      </c>
    </row>
    <row r="118" spans="1:5" x14ac:dyDescent="0.35">
      <c r="A118">
        <v>20260331</v>
      </c>
      <c r="B118" s="2">
        <f t="shared" si="1"/>
        <v>46112</v>
      </c>
      <c r="C118">
        <v>5.0999999999999996</v>
      </c>
      <c r="D118" s="1">
        <v>0.39466945691327998</v>
      </c>
      <c r="E118" s="1">
        <v>-0.98547484754462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E6A1-1EA9-46E6-85D5-ED4D5D9F9485}">
  <dimension ref="A1:E118"/>
  <sheetViews>
    <sheetView workbookViewId="0">
      <selection activeCell="B2" sqref="B2"/>
    </sheetView>
  </sheetViews>
  <sheetFormatPr defaultRowHeight="14.15" x14ac:dyDescent="0.35"/>
  <cols>
    <col min="4" max="4" width="16.5" style="1" bestFit="1" customWidth="1"/>
    <col min="5" max="5" width="18.85546875" style="1" bestFit="1" customWidth="1"/>
  </cols>
  <sheetData>
    <row r="1" spans="1:5" x14ac:dyDescent="0.35">
      <c r="A1" t="s">
        <v>0</v>
      </c>
      <c r="C1" t="s">
        <v>3</v>
      </c>
      <c r="D1" s="1" t="s">
        <v>1</v>
      </c>
      <c r="E1" s="1" t="s">
        <v>2</v>
      </c>
    </row>
    <row r="2" spans="1:5" x14ac:dyDescent="0.35">
      <c r="A2">
        <v>20160731</v>
      </c>
      <c r="B2" s="2">
        <f>DATE(LEFT(A2,4),MID(A2,5,2),RIGHT(A2,2))</f>
        <v>42582</v>
      </c>
      <c r="C2">
        <v>10.199999999999999</v>
      </c>
      <c r="D2" s="1">
        <v>-2.0190818572871199</v>
      </c>
    </row>
    <row r="3" spans="1:5" x14ac:dyDescent="0.35">
      <c r="A3">
        <v>20160831</v>
      </c>
      <c r="B3" s="2">
        <f t="shared" ref="B3:B66" si="0">DATE(LEFT(A3,4),MID(A3,5,2),RIGHT(A3,2))</f>
        <v>42613</v>
      </c>
      <c r="C3">
        <v>11.4</v>
      </c>
      <c r="D3" s="1">
        <v>-0.549300171954752</v>
      </c>
      <c r="E3" s="1">
        <v>1.6237568390135899</v>
      </c>
    </row>
    <row r="4" spans="1:5" x14ac:dyDescent="0.35">
      <c r="A4">
        <v>20160930</v>
      </c>
      <c r="B4" s="2">
        <f t="shared" si="0"/>
        <v>42643</v>
      </c>
      <c r="C4">
        <v>11.5</v>
      </c>
      <c r="D4" s="1">
        <v>-0.3505407828928</v>
      </c>
      <c r="E4" s="1">
        <v>0.208214610371634</v>
      </c>
    </row>
    <row r="5" spans="1:5" x14ac:dyDescent="0.35">
      <c r="A5">
        <v>20161031</v>
      </c>
      <c r="B5" s="2">
        <f t="shared" si="0"/>
        <v>42674</v>
      </c>
      <c r="C5">
        <v>11.6</v>
      </c>
      <c r="D5" s="1">
        <v>-0.18449552699353999</v>
      </c>
      <c r="E5" s="1">
        <v>0.16900243171243701</v>
      </c>
    </row>
    <row r="6" spans="1:5" x14ac:dyDescent="0.35">
      <c r="A6">
        <v>20161130</v>
      </c>
      <c r="B6" s="2">
        <f t="shared" si="0"/>
        <v>42704</v>
      </c>
      <c r="C6">
        <v>11.4</v>
      </c>
      <c r="D6" s="1">
        <v>-0.29488714347864697</v>
      </c>
      <c r="E6" s="1">
        <v>-0.16327645081744199</v>
      </c>
    </row>
    <row r="7" spans="1:5" x14ac:dyDescent="0.35">
      <c r="A7">
        <v>20161231</v>
      </c>
      <c r="B7" s="2">
        <f t="shared" si="0"/>
        <v>42735</v>
      </c>
      <c r="C7">
        <v>11.3</v>
      </c>
      <c r="D7" s="1">
        <v>-0.30184717056032301</v>
      </c>
      <c r="E7" s="1">
        <v>-3.6078951156293303E-2</v>
      </c>
    </row>
    <row r="8" spans="1:5" x14ac:dyDescent="0.35">
      <c r="A8">
        <v>20170131</v>
      </c>
      <c r="B8" s="2">
        <f t="shared" si="0"/>
        <v>42766</v>
      </c>
      <c r="C8">
        <v>10.7</v>
      </c>
      <c r="D8" s="1">
        <v>-0.74235304055754203</v>
      </c>
      <c r="E8" s="1">
        <v>-0.55471308428091703</v>
      </c>
    </row>
    <row r="9" spans="1:5" x14ac:dyDescent="0.35">
      <c r="A9">
        <v>20170228</v>
      </c>
      <c r="B9" s="2">
        <f t="shared" si="0"/>
        <v>42794</v>
      </c>
      <c r="C9">
        <v>10.4</v>
      </c>
      <c r="D9" s="1">
        <v>-0.83809918699141095</v>
      </c>
      <c r="E9" s="1">
        <v>-0.13806104621816401</v>
      </c>
    </row>
    <row r="10" spans="1:5" x14ac:dyDescent="0.35">
      <c r="A10">
        <v>20170331</v>
      </c>
      <c r="B10" s="2">
        <f t="shared" si="0"/>
        <v>42825</v>
      </c>
      <c r="C10">
        <v>10.1</v>
      </c>
      <c r="D10" s="1">
        <v>-0.91194104353862704</v>
      </c>
      <c r="E10" s="1">
        <v>-0.11291769317761099</v>
      </c>
    </row>
    <row r="11" spans="1:5" x14ac:dyDescent="0.35">
      <c r="A11">
        <v>20170430</v>
      </c>
      <c r="B11" s="2">
        <f t="shared" si="0"/>
        <v>42855</v>
      </c>
      <c r="C11">
        <v>9.8000000000000007</v>
      </c>
      <c r="D11" s="1">
        <v>-0.96716342847651204</v>
      </c>
      <c r="E11" s="1">
        <v>-9.1430265849556006E-2</v>
      </c>
    </row>
    <row r="12" spans="1:5" x14ac:dyDescent="0.35">
      <c r="A12">
        <v>20170531</v>
      </c>
      <c r="B12" s="2">
        <f t="shared" si="0"/>
        <v>42886</v>
      </c>
      <c r="C12">
        <v>9.1</v>
      </c>
      <c r="D12" s="1">
        <v>-1.36293963595349</v>
      </c>
      <c r="E12" s="1">
        <v>-0.52365081074825404</v>
      </c>
    </row>
    <row r="13" spans="1:5" x14ac:dyDescent="0.35">
      <c r="A13">
        <v>20170630</v>
      </c>
      <c r="B13" s="2">
        <f t="shared" si="0"/>
        <v>42916</v>
      </c>
      <c r="C13">
        <v>9.1</v>
      </c>
      <c r="D13" s="1">
        <v>-1.04089458351706</v>
      </c>
      <c r="E13" s="1">
        <v>0.37211347974777498</v>
      </c>
    </row>
    <row r="14" spans="1:5" x14ac:dyDescent="0.35">
      <c r="A14">
        <v>20170731</v>
      </c>
      <c r="B14" s="2">
        <f t="shared" si="0"/>
        <v>42947</v>
      </c>
      <c r="C14">
        <v>8.9</v>
      </c>
      <c r="D14" s="1">
        <v>-0.96368293646037895</v>
      </c>
      <c r="E14" s="1">
        <v>8.0715970640705098E-2</v>
      </c>
    </row>
    <row r="15" spans="1:5" x14ac:dyDescent="0.35">
      <c r="A15">
        <v>20170831</v>
      </c>
      <c r="B15" s="2">
        <f t="shared" si="0"/>
        <v>42978</v>
      </c>
      <c r="C15">
        <v>8.6</v>
      </c>
      <c r="D15" s="1">
        <v>-0.98668759056871902</v>
      </c>
      <c r="E15" s="1">
        <v>-4.7297029436804902E-2</v>
      </c>
    </row>
    <row r="16" spans="1:5" x14ac:dyDescent="0.35">
      <c r="A16">
        <v>20170930</v>
      </c>
      <c r="B16" s="2">
        <f t="shared" si="0"/>
        <v>43008</v>
      </c>
      <c r="C16">
        <v>9</v>
      </c>
      <c r="D16" s="1">
        <v>-0.38567066925522703</v>
      </c>
      <c r="E16" s="1">
        <v>0.80500567785760702</v>
      </c>
    </row>
    <row r="17" spans="1:5" x14ac:dyDescent="0.35">
      <c r="A17">
        <v>20171031</v>
      </c>
      <c r="B17" s="2">
        <f t="shared" si="0"/>
        <v>43039</v>
      </c>
      <c r="C17">
        <v>8.9</v>
      </c>
      <c r="D17" s="1">
        <v>-0.33495593738859097</v>
      </c>
      <c r="E17" s="1">
        <v>5.9874431632624098E-2</v>
      </c>
    </row>
    <row r="18" spans="1:5" x14ac:dyDescent="0.35">
      <c r="A18">
        <v>20171130</v>
      </c>
      <c r="B18" s="2">
        <f t="shared" si="0"/>
        <v>43069</v>
      </c>
      <c r="C18">
        <v>9.1</v>
      </c>
      <c r="D18" s="1">
        <v>-2.064246477985E-2</v>
      </c>
      <c r="E18" s="1">
        <v>0.41781902374626601</v>
      </c>
    </row>
    <row r="19" spans="1:5" x14ac:dyDescent="0.35">
      <c r="A19">
        <v>20171231</v>
      </c>
      <c r="B19" s="2">
        <f t="shared" si="0"/>
        <v>43100</v>
      </c>
      <c r="C19">
        <v>8.1</v>
      </c>
      <c r="D19" s="1">
        <v>-0.85565573208683698</v>
      </c>
      <c r="E19" s="1">
        <v>-1.14626591758179</v>
      </c>
    </row>
    <row r="20" spans="1:5" x14ac:dyDescent="0.35">
      <c r="A20">
        <v>20180131</v>
      </c>
      <c r="B20" s="2">
        <f t="shared" si="0"/>
        <v>43131</v>
      </c>
      <c r="C20">
        <v>8.6</v>
      </c>
      <c r="D20" s="1">
        <v>-0.16355115535592099</v>
      </c>
      <c r="E20" s="1">
        <v>0.92142436173289499</v>
      </c>
    </row>
    <row r="21" spans="1:5" x14ac:dyDescent="0.35">
      <c r="A21">
        <v>20180228</v>
      </c>
      <c r="B21" s="2">
        <f t="shared" si="0"/>
        <v>43159</v>
      </c>
      <c r="C21">
        <v>8.8000000000000007</v>
      </c>
      <c r="D21" s="1">
        <v>0.12342554864239801</v>
      </c>
      <c r="E21" s="1">
        <v>0.38647416794560002</v>
      </c>
    </row>
    <row r="22" spans="1:5" x14ac:dyDescent="0.35">
      <c r="A22">
        <v>20180331</v>
      </c>
      <c r="B22" s="2">
        <f t="shared" si="0"/>
        <v>43190</v>
      </c>
      <c r="C22">
        <v>8.1999999999999993</v>
      </c>
      <c r="D22" s="1">
        <v>-0.34159408273060299</v>
      </c>
      <c r="E22" s="1">
        <v>-0.68559388411393696</v>
      </c>
    </row>
    <row r="23" spans="1:5" x14ac:dyDescent="0.35">
      <c r="A23">
        <v>20180430</v>
      </c>
      <c r="B23" s="2">
        <f t="shared" si="0"/>
        <v>43220</v>
      </c>
      <c r="C23">
        <v>8.3000000000000007</v>
      </c>
      <c r="D23" s="1">
        <v>-8.5693110563322697E-2</v>
      </c>
      <c r="E23" s="1">
        <v>0.316772779105432</v>
      </c>
    </row>
    <row r="24" spans="1:5" x14ac:dyDescent="0.35">
      <c r="A24">
        <v>20180531</v>
      </c>
      <c r="B24" s="2">
        <f t="shared" si="0"/>
        <v>43251</v>
      </c>
      <c r="C24">
        <v>8.3000000000000007</v>
      </c>
      <c r="D24" s="1">
        <v>-1.8342190252776301E-2</v>
      </c>
      <c r="E24" s="1">
        <v>0.13501962096801301</v>
      </c>
    </row>
    <row r="25" spans="1:5" x14ac:dyDescent="0.35">
      <c r="A25">
        <v>20180630</v>
      </c>
      <c r="B25" s="2">
        <f t="shared" si="0"/>
        <v>43281</v>
      </c>
      <c r="C25">
        <v>8</v>
      </c>
      <c r="D25" s="1">
        <v>-0.24544432276721201</v>
      </c>
      <c r="E25" s="1">
        <v>-0.27809401448336102</v>
      </c>
    </row>
    <row r="26" spans="1:5" x14ac:dyDescent="0.35">
      <c r="A26">
        <v>20180731</v>
      </c>
      <c r="B26" s="2">
        <f t="shared" si="0"/>
        <v>43312</v>
      </c>
      <c r="C26">
        <v>8.5</v>
      </c>
      <c r="D26" s="1">
        <v>0.38569400015476601</v>
      </c>
      <c r="E26" s="1">
        <v>0.81689916388551598</v>
      </c>
    </row>
    <row r="27" spans="1:5" x14ac:dyDescent="0.35">
      <c r="A27">
        <v>20180831</v>
      </c>
      <c r="B27" s="2">
        <f t="shared" si="0"/>
        <v>43343</v>
      </c>
      <c r="C27">
        <v>8.1999999999999993</v>
      </c>
      <c r="D27" s="1">
        <v>0.165391787626538</v>
      </c>
      <c r="E27" s="1">
        <v>-0.38049940088526102</v>
      </c>
    </row>
    <row r="28" spans="1:5" x14ac:dyDescent="0.35">
      <c r="A28">
        <v>20180930</v>
      </c>
      <c r="B28" s="2">
        <f t="shared" si="0"/>
        <v>43373</v>
      </c>
      <c r="C28">
        <v>8.3000000000000007</v>
      </c>
      <c r="D28" s="1">
        <v>0.408774420118174</v>
      </c>
      <c r="E28" s="1">
        <v>0.212523743421518</v>
      </c>
    </row>
    <row r="29" spans="1:5" x14ac:dyDescent="0.35">
      <c r="A29">
        <v>20181031</v>
      </c>
      <c r="B29" s="2">
        <f t="shared" si="0"/>
        <v>43404</v>
      </c>
      <c r="C29">
        <v>8</v>
      </c>
      <c r="D29" s="1">
        <v>0.16817261421728799</v>
      </c>
      <c r="E29" s="1">
        <v>-0.36415839237208297</v>
      </c>
    </row>
    <row r="30" spans="1:5" x14ac:dyDescent="0.35">
      <c r="A30">
        <v>20181130</v>
      </c>
      <c r="B30" s="2">
        <f t="shared" si="0"/>
        <v>43434</v>
      </c>
      <c r="C30">
        <v>8</v>
      </c>
      <c r="D30" s="1">
        <v>0.33644999392805303</v>
      </c>
      <c r="E30" s="1">
        <v>0.10180059146336499</v>
      </c>
    </row>
    <row r="31" spans="1:5" x14ac:dyDescent="0.35">
      <c r="A31">
        <v>20181231</v>
      </c>
      <c r="B31" s="2">
        <f t="shared" si="0"/>
        <v>43465</v>
      </c>
      <c r="C31">
        <v>8.1</v>
      </c>
      <c r="D31" s="1">
        <v>0.65468734117143601</v>
      </c>
      <c r="E31" s="1">
        <v>0.220424123631485</v>
      </c>
    </row>
    <row r="32" spans="1:5" x14ac:dyDescent="0.35">
      <c r="A32">
        <v>20190131</v>
      </c>
      <c r="B32" s="2">
        <f t="shared" si="0"/>
        <v>43496</v>
      </c>
      <c r="C32">
        <v>8.4</v>
      </c>
      <c r="D32" s="1">
        <v>1.19786387974903</v>
      </c>
      <c r="E32" s="1">
        <v>0.45936573141424802</v>
      </c>
    </row>
    <row r="33" spans="1:5" x14ac:dyDescent="0.35">
      <c r="A33">
        <v>20190228</v>
      </c>
      <c r="B33" s="2">
        <f t="shared" si="0"/>
        <v>43524</v>
      </c>
      <c r="C33">
        <v>8</v>
      </c>
      <c r="D33" s="1">
        <v>0.774133952881638</v>
      </c>
      <c r="E33" s="1">
        <v>-0.60201822606531397</v>
      </c>
    </row>
    <row r="34" spans="1:5" x14ac:dyDescent="0.35">
      <c r="A34">
        <v>20190331</v>
      </c>
      <c r="B34" s="2">
        <f t="shared" si="0"/>
        <v>43555</v>
      </c>
      <c r="C34">
        <v>8.6</v>
      </c>
      <c r="D34" s="1">
        <v>1.9210147584570501</v>
      </c>
      <c r="E34" s="1">
        <v>1.0308309363150401</v>
      </c>
    </row>
    <row r="35" spans="1:5" x14ac:dyDescent="0.35">
      <c r="A35">
        <v>20190430</v>
      </c>
      <c r="B35" s="2">
        <f t="shared" si="0"/>
        <v>43585</v>
      </c>
      <c r="C35">
        <v>8.5</v>
      </c>
      <c r="D35" s="1">
        <v>1.7058345304424201</v>
      </c>
      <c r="E35" s="1">
        <v>-0.244874631882431</v>
      </c>
    </row>
    <row r="36" spans="1:5" x14ac:dyDescent="0.35">
      <c r="A36">
        <v>20190531</v>
      </c>
      <c r="B36" s="2">
        <f t="shared" si="0"/>
        <v>43616</v>
      </c>
      <c r="C36">
        <v>8.5</v>
      </c>
      <c r="D36" s="1">
        <v>1.58996542567437</v>
      </c>
      <c r="E36" s="1">
        <v>-0.123835178747184</v>
      </c>
    </row>
    <row r="37" spans="1:5" x14ac:dyDescent="0.35">
      <c r="A37">
        <v>20190630</v>
      </c>
      <c r="B37" s="2">
        <f t="shared" si="0"/>
        <v>43646</v>
      </c>
      <c r="C37">
        <v>8.5</v>
      </c>
      <c r="D37" s="1">
        <v>1.4665369223090801</v>
      </c>
      <c r="E37" s="1">
        <v>-9.2815037812615603E-2</v>
      </c>
    </row>
    <row r="38" spans="1:5" x14ac:dyDescent="0.35">
      <c r="A38">
        <v>20190731</v>
      </c>
      <c r="B38" s="2">
        <f t="shared" si="0"/>
        <v>43677</v>
      </c>
      <c r="C38">
        <v>8.1</v>
      </c>
      <c r="D38" s="1">
        <v>0.72362098343070702</v>
      </c>
      <c r="E38" s="1">
        <v>-0.773312541059478</v>
      </c>
    </row>
    <row r="39" spans="1:5" x14ac:dyDescent="0.35">
      <c r="A39">
        <v>20190831</v>
      </c>
      <c r="B39" s="2">
        <f t="shared" si="0"/>
        <v>43708</v>
      </c>
      <c r="C39">
        <v>8.1999999999999993</v>
      </c>
      <c r="D39" s="1">
        <v>0.96559665493142699</v>
      </c>
      <c r="E39" s="1">
        <v>0.35852201907479803</v>
      </c>
    </row>
    <row r="40" spans="1:5" x14ac:dyDescent="0.35">
      <c r="A40">
        <v>20190930</v>
      </c>
      <c r="B40" s="2">
        <f t="shared" si="0"/>
        <v>43738</v>
      </c>
      <c r="C40">
        <v>8.4</v>
      </c>
      <c r="D40" s="1">
        <v>1.3192448821027001</v>
      </c>
      <c r="E40" s="1">
        <v>0.50130558323284302</v>
      </c>
    </row>
    <row r="41" spans="1:5" x14ac:dyDescent="0.35">
      <c r="A41">
        <v>20191031</v>
      </c>
      <c r="B41" s="2">
        <f t="shared" si="0"/>
        <v>43769</v>
      </c>
      <c r="C41">
        <v>8.4</v>
      </c>
      <c r="D41" s="1">
        <v>1.2394100768829199</v>
      </c>
      <c r="E41" s="1">
        <v>9.1372048468948298E-3</v>
      </c>
    </row>
    <row r="42" spans="1:5" x14ac:dyDescent="0.35">
      <c r="A42">
        <v>20191130</v>
      </c>
      <c r="B42" s="2">
        <f t="shared" si="0"/>
        <v>43799</v>
      </c>
      <c r="C42">
        <v>8.1999999999999993</v>
      </c>
      <c r="D42" s="1">
        <v>0.84066355300059303</v>
      </c>
      <c r="E42" s="1">
        <v>-0.37484350830159402</v>
      </c>
    </row>
    <row r="43" spans="1:5" x14ac:dyDescent="0.35">
      <c r="A43">
        <v>20191231</v>
      </c>
      <c r="B43" s="2">
        <f t="shared" si="0"/>
        <v>43830</v>
      </c>
      <c r="C43">
        <v>8.6999999999999993</v>
      </c>
      <c r="D43" s="1">
        <v>1.69565927810884</v>
      </c>
      <c r="E43" s="1">
        <v>1.11082965483892</v>
      </c>
    </row>
    <row r="44" spans="1:5" x14ac:dyDescent="0.35">
      <c r="A44">
        <v>20200131</v>
      </c>
      <c r="B44" s="2">
        <f t="shared" si="0"/>
        <v>43861</v>
      </c>
      <c r="C44">
        <v>8.4</v>
      </c>
      <c r="D44" s="1">
        <v>1.01191778079799</v>
      </c>
      <c r="E44" s="1">
        <v>-0.707244737126143</v>
      </c>
    </row>
    <row r="45" spans="1:5" x14ac:dyDescent="0.35">
      <c r="A45">
        <v>20200229</v>
      </c>
      <c r="B45" s="2">
        <f t="shared" si="0"/>
        <v>43890</v>
      </c>
      <c r="C45">
        <v>8.8000000000000007</v>
      </c>
      <c r="D45" s="1">
        <v>1.59896280200105</v>
      </c>
      <c r="E45" s="1">
        <v>0.87336128769612997</v>
      </c>
    </row>
    <row r="46" spans="1:5" x14ac:dyDescent="0.35">
      <c r="A46">
        <v>20200331</v>
      </c>
      <c r="B46" s="2">
        <f t="shared" si="0"/>
        <v>43921</v>
      </c>
      <c r="C46">
        <v>10.1</v>
      </c>
      <c r="D46" s="1">
        <v>3</v>
      </c>
      <c r="E46" s="1">
        <v>2.6183768813249002</v>
      </c>
    </row>
    <row r="47" spans="1:5" x14ac:dyDescent="0.35">
      <c r="A47">
        <v>20200430</v>
      </c>
      <c r="B47" s="2">
        <f t="shared" si="0"/>
        <v>43951</v>
      </c>
      <c r="C47">
        <v>11.1</v>
      </c>
      <c r="D47" s="1">
        <v>3</v>
      </c>
      <c r="E47" s="1">
        <v>1.42749313827192</v>
      </c>
    </row>
    <row r="48" spans="1:5" x14ac:dyDescent="0.35">
      <c r="A48">
        <v>20200531</v>
      </c>
      <c r="B48" s="2">
        <f t="shared" si="0"/>
        <v>43982</v>
      </c>
      <c r="C48">
        <v>11.1</v>
      </c>
      <c r="D48" s="1">
        <v>2.8266637803806098</v>
      </c>
      <c r="E48" s="1">
        <v>-0.85406128303722995</v>
      </c>
    </row>
    <row r="49" spans="1:5" x14ac:dyDescent="0.35">
      <c r="A49">
        <v>20200630</v>
      </c>
      <c r="B49" s="2">
        <f t="shared" si="0"/>
        <v>44012</v>
      </c>
      <c r="C49">
        <v>11.1</v>
      </c>
      <c r="D49" s="1">
        <v>2.2042590632280201</v>
      </c>
      <c r="E49" s="1">
        <v>-0.84134001690858795</v>
      </c>
    </row>
    <row r="50" spans="1:5" x14ac:dyDescent="0.35">
      <c r="A50">
        <v>20200731</v>
      </c>
      <c r="B50" s="2">
        <f t="shared" si="0"/>
        <v>44043</v>
      </c>
      <c r="C50">
        <v>10.7</v>
      </c>
      <c r="D50" s="1">
        <v>1.3126372600395</v>
      </c>
      <c r="E50" s="1">
        <v>-1.58415224925055</v>
      </c>
    </row>
    <row r="51" spans="1:5" x14ac:dyDescent="0.35">
      <c r="A51">
        <v>20200831</v>
      </c>
      <c r="B51" s="2">
        <f t="shared" si="0"/>
        <v>44074</v>
      </c>
      <c r="C51">
        <v>10.4</v>
      </c>
      <c r="D51" s="1">
        <v>0.73658327620717801</v>
      </c>
      <c r="E51" s="1">
        <v>-1.1398662473897201</v>
      </c>
    </row>
    <row r="52" spans="1:5" x14ac:dyDescent="0.35">
      <c r="A52">
        <v>20200930</v>
      </c>
      <c r="B52" s="2">
        <f t="shared" si="0"/>
        <v>44104</v>
      </c>
      <c r="C52">
        <v>10.9</v>
      </c>
      <c r="D52" s="1">
        <v>1.16706247734663</v>
      </c>
      <c r="E52" s="1">
        <v>0.90661793836415405</v>
      </c>
    </row>
    <row r="53" spans="1:5" x14ac:dyDescent="0.35">
      <c r="A53">
        <v>20201031</v>
      </c>
      <c r="B53" s="2">
        <f t="shared" si="0"/>
        <v>44135</v>
      </c>
      <c r="C53">
        <v>10.5</v>
      </c>
      <c r="D53" s="1">
        <v>0.46488206601960502</v>
      </c>
      <c r="E53" s="1">
        <v>-1.3919291494771999</v>
      </c>
    </row>
    <row r="54" spans="1:5" x14ac:dyDescent="0.35">
      <c r="A54">
        <v>20201130</v>
      </c>
      <c r="B54" s="2">
        <f t="shared" si="0"/>
        <v>44165</v>
      </c>
      <c r="C54">
        <v>10.7</v>
      </c>
      <c r="D54" s="1">
        <v>0.58211231997486701</v>
      </c>
      <c r="E54" s="1">
        <v>0.26508024060964602</v>
      </c>
    </row>
    <row r="55" spans="1:5" x14ac:dyDescent="0.35">
      <c r="A55">
        <v>20201231</v>
      </c>
      <c r="B55" s="2">
        <f t="shared" si="0"/>
        <v>44196</v>
      </c>
      <c r="C55">
        <v>10.1</v>
      </c>
      <c r="D55" s="1">
        <v>-0.26454300663846497</v>
      </c>
      <c r="E55" s="1">
        <v>-1.6596618761734001</v>
      </c>
    </row>
    <row r="56" spans="1:5" x14ac:dyDescent="0.35">
      <c r="A56">
        <v>20210131</v>
      </c>
      <c r="B56" s="2">
        <f t="shared" si="0"/>
        <v>44227</v>
      </c>
      <c r="C56">
        <v>9.4</v>
      </c>
      <c r="D56" s="1">
        <v>-1.17567842831373</v>
      </c>
      <c r="E56" s="1">
        <v>-1.5687890546332399</v>
      </c>
    </row>
    <row r="57" spans="1:5" x14ac:dyDescent="0.35">
      <c r="A57">
        <v>20210228</v>
      </c>
      <c r="B57" s="2">
        <f t="shared" si="0"/>
        <v>44255</v>
      </c>
      <c r="C57">
        <v>10.1</v>
      </c>
      <c r="D57" s="1">
        <v>-0.151849692933826</v>
      </c>
      <c r="E57" s="1">
        <v>1.830411861805</v>
      </c>
    </row>
    <row r="58" spans="1:5" x14ac:dyDescent="0.35">
      <c r="A58">
        <v>20210331</v>
      </c>
      <c r="B58" s="2">
        <f t="shared" si="0"/>
        <v>44286</v>
      </c>
      <c r="C58">
        <v>9.4</v>
      </c>
      <c r="D58" s="1">
        <v>-1.05051153224168</v>
      </c>
      <c r="E58" s="1">
        <v>-1.58413803175505</v>
      </c>
    </row>
    <row r="59" spans="1:5" x14ac:dyDescent="0.35">
      <c r="A59">
        <v>20210430</v>
      </c>
      <c r="B59" s="2">
        <f t="shared" si="0"/>
        <v>44316</v>
      </c>
      <c r="C59">
        <v>8.1</v>
      </c>
      <c r="D59" s="1">
        <v>-2.5918786515027898</v>
      </c>
      <c r="E59" s="1">
        <v>-2.5603197517876199</v>
      </c>
    </row>
    <row r="60" spans="1:5" x14ac:dyDescent="0.35">
      <c r="A60">
        <v>20210531</v>
      </c>
      <c r="B60" s="2">
        <f t="shared" si="0"/>
        <v>44347</v>
      </c>
      <c r="C60">
        <v>8.3000000000000007</v>
      </c>
      <c r="D60" s="1">
        <v>-1.79943893513491</v>
      </c>
      <c r="E60" s="1">
        <v>0.98836586630383905</v>
      </c>
    </row>
    <row r="61" spans="1:5" x14ac:dyDescent="0.35">
      <c r="A61">
        <v>20210630</v>
      </c>
      <c r="B61" s="2">
        <f t="shared" si="0"/>
        <v>44377</v>
      </c>
      <c r="C61">
        <v>8.6</v>
      </c>
      <c r="D61" s="1">
        <v>-1.12986710770577</v>
      </c>
      <c r="E61" s="1">
        <v>0.99749480802494594</v>
      </c>
    </row>
    <row r="62" spans="1:5" x14ac:dyDescent="0.35">
      <c r="A62">
        <v>20210731</v>
      </c>
      <c r="B62" s="2">
        <f t="shared" si="0"/>
        <v>44408</v>
      </c>
      <c r="C62">
        <v>8.3000000000000007</v>
      </c>
      <c r="D62" s="1">
        <v>-1.3152395083942501</v>
      </c>
      <c r="E62" s="1">
        <v>-0.35742127689730002</v>
      </c>
    </row>
    <row r="63" spans="1:5" x14ac:dyDescent="0.35">
      <c r="A63">
        <v>20210831</v>
      </c>
      <c r="B63" s="2">
        <f t="shared" si="0"/>
        <v>44439</v>
      </c>
      <c r="C63">
        <v>8.1999999999999993</v>
      </c>
      <c r="D63" s="1">
        <v>-1.1939133826836801</v>
      </c>
      <c r="E63" s="1">
        <v>9.5922238654425798E-2</v>
      </c>
    </row>
    <row r="64" spans="1:5" x14ac:dyDescent="0.35">
      <c r="A64">
        <v>20210930</v>
      </c>
      <c r="B64" s="2">
        <f t="shared" si="0"/>
        <v>44469</v>
      </c>
      <c r="C64">
        <v>8.3000000000000007</v>
      </c>
      <c r="D64" s="1">
        <v>-0.88577938401420298</v>
      </c>
      <c r="E64" s="1">
        <v>0.46688306550207698</v>
      </c>
    </row>
    <row r="65" spans="1:5" x14ac:dyDescent="0.35">
      <c r="A65">
        <v>20211031</v>
      </c>
      <c r="B65" s="2">
        <f t="shared" si="0"/>
        <v>44500</v>
      </c>
      <c r="C65">
        <v>8.6999999999999993</v>
      </c>
      <c r="D65" s="1">
        <v>-0.307245651973789</v>
      </c>
      <c r="E65" s="1">
        <v>1.01304644952689</v>
      </c>
    </row>
    <row r="66" spans="1:5" x14ac:dyDescent="0.35">
      <c r="A66">
        <v>20211130</v>
      </c>
      <c r="B66" s="2">
        <f t="shared" si="0"/>
        <v>44530</v>
      </c>
      <c r="C66">
        <v>8.5</v>
      </c>
      <c r="D66" s="1">
        <v>-0.50161966364385302</v>
      </c>
      <c r="E66" s="1">
        <v>-0.359101743563225</v>
      </c>
    </row>
    <row r="67" spans="1:5" x14ac:dyDescent="0.35">
      <c r="A67">
        <v>20211231</v>
      </c>
      <c r="B67" s="2">
        <f t="shared" ref="B67:B118" si="1">DATE(LEFT(A67,4),MID(A67,5,2),RIGHT(A67,2))</f>
        <v>44561</v>
      </c>
      <c r="C67">
        <v>9</v>
      </c>
      <c r="D67" s="1">
        <v>0.108029641941347</v>
      </c>
      <c r="E67" s="1">
        <v>1.10076938122876</v>
      </c>
    </row>
    <row r="68" spans="1:5" x14ac:dyDescent="0.35">
      <c r="A68">
        <v>20220131</v>
      </c>
      <c r="B68" s="2">
        <f t="shared" si="1"/>
        <v>44592</v>
      </c>
      <c r="C68">
        <v>9.8000000000000007</v>
      </c>
      <c r="D68" s="1">
        <v>0.94343077829418898</v>
      </c>
      <c r="E68" s="1">
        <v>1.50129379498777</v>
      </c>
    </row>
    <row r="69" spans="1:5" x14ac:dyDescent="0.35">
      <c r="A69">
        <v>20220228</v>
      </c>
      <c r="B69" s="2">
        <f t="shared" si="1"/>
        <v>44620</v>
      </c>
      <c r="C69">
        <v>9.1999999999999993</v>
      </c>
      <c r="D69" s="1">
        <v>9.4916815539583504E-2</v>
      </c>
      <c r="E69" s="1">
        <v>-1.5855890644948301</v>
      </c>
    </row>
    <row r="70" spans="1:5" x14ac:dyDescent="0.35">
      <c r="A70">
        <v>20220331</v>
      </c>
      <c r="B70" s="2">
        <f t="shared" si="1"/>
        <v>44651</v>
      </c>
      <c r="C70">
        <v>9.6999999999999993</v>
      </c>
      <c r="D70" s="1">
        <v>0.58925196165791105</v>
      </c>
      <c r="E70" s="1">
        <v>0.90352410813768402</v>
      </c>
    </row>
    <row r="71" spans="1:5" x14ac:dyDescent="0.35">
      <c r="A71">
        <v>20220430</v>
      </c>
      <c r="B71" s="2">
        <f t="shared" si="1"/>
        <v>44681</v>
      </c>
      <c r="C71">
        <v>10.5</v>
      </c>
      <c r="D71" s="1">
        <v>1.33137362724623</v>
      </c>
      <c r="E71" s="1">
        <v>1.32060161312774</v>
      </c>
    </row>
    <row r="72" spans="1:5" x14ac:dyDescent="0.35">
      <c r="A72">
        <v>20220531</v>
      </c>
      <c r="B72" s="2">
        <f t="shared" si="1"/>
        <v>44712</v>
      </c>
      <c r="C72">
        <v>11.1</v>
      </c>
      <c r="D72" s="1">
        <v>1.67655402182183</v>
      </c>
      <c r="E72" s="1">
        <v>0.67850756196110595</v>
      </c>
    </row>
    <row r="73" spans="1:5" x14ac:dyDescent="0.35">
      <c r="A73">
        <v>20220630</v>
      </c>
      <c r="B73" s="2">
        <f t="shared" si="1"/>
        <v>44742</v>
      </c>
      <c r="C73">
        <v>11.4</v>
      </c>
      <c r="D73" s="1">
        <v>1.5988317191574799</v>
      </c>
      <c r="E73" s="1">
        <v>-3.8849094619079802E-2</v>
      </c>
    </row>
    <row r="74" spans="1:5" x14ac:dyDescent="0.35">
      <c r="A74">
        <v>20220731</v>
      </c>
      <c r="B74" s="2">
        <f t="shared" si="1"/>
        <v>44773</v>
      </c>
      <c r="C74">
        <v>12</v>
      </c>
      <c r="D74" s="1">
        <v>1.81996521230232</v>
      </c>
      <c r="E74" s="1">
        <v>0.53004173138677002</v>
      </c>
    </row>
    <row r="75" spans="1:5" x14ac:dyDescent="0.35">
      <c r="A75">
        <v>20220831</v>
      </c>
      <c r="B75" s="2">
        <f t="shared" si="1"/>
        <v>44804</v>
      </c>
      <c r="C75">
        <v>12.2</v>
      </c>
      <c r="D75" s="1">
        <v>1.56814599329246</v>
      </c>
      <c r="E75" s="1">
        <v>-0.342479871622976</v>
      </c>
    </row>
    <row r="76" spans="1:5" x14ac:dyDescent="0.35">
      <c r="A76">
        <v>20220930</v>
      </c>
      <c r="B76" s="2">
        <f t="shared" si="1"/>
        <v>44834</v>
      </c>
      <c r="C76">
        <v>12.1</v>
      </c>
      <c r="D76" s="1">
        <v>1.0939231398551901</v>
      </c>
      <c r="E76" s="1">
        <v>-0.90682472772511102</v>
      </c>
    </row>
    <row r="77" spans="1:5" x14ac:dyDescent="0.35">
      <c r="A77">
        <v>20221031</v>
      </c>
      <c r="B77" s="2">
        <f t="shared" si="1"/>
        <v>44865</v>
      </c>
      <c r="C77">
        <v>11.8</v>
      </c>
      <c r="D77" s="1">
        <v>0.54648957828866795</v>
      </c>
      <c r="E77" s="1">
        <v>-1.1470635487056</v>
      </c>
    </row>
    <row r="78" spans="1:5" x14ac:dyDescent="0.35">
      <c r="A78">
        <v>20221130</v>
      </c>
      <c r="B78" s="2">
        <f t="shared" si="1"/>
        <v>44895</v>
      </c>
      <c r="C78">
        <v>12.4</v>
      </c>
      <c r="D78" s="1">
        <v>0.91919228800369301</v>
      </c>
      <c r="E78" s="1">
        <v>0.79382624145759295</v>
      </c>
    </row>
    <row r="79" spans="1:5" x14ac:dyDescent="0.35">
      <c r="A79">
        <v>20221231</v>
      </c>
      <c r="B79" s="2">
        <f t="shared" si="1"/>
        <v>44926</v>
      </c>
      <c r="C79">
        <v>11.8</v>
      </c>
      <c r="D79" s="1">
        <v>0.127936363999507</v>
      </c>
      <c r="E79" s="1">
        <v>-1.68115029455544</v>
      </c>
    </row>
    <row r="80" spans="1:5" x14ac:dyDescent="0.35">
      <c r="A80">
        <v>20230131</v>
      </c>
      <c r="B80" s="2">
        <f t="shared" si="1"/>
        <v>44957</v>
      </c>
      <c r="C80">
        <v>12.6</v>
      </c>
      <c r="D80" s="1">
        <v>0.75041829823517803</v>
      </c>
      <c r="E80" s="1">
        <v>1.2813611204559801</v>
      </c>
    </row>
    <row r="81" spans="1:5" x14ac:dyDescent="0.35">
      <c r="A81">
        <v>20230228</v>
      </c>
      <c r="B81" s="2">
        <f t="shared" si="1"/>
        <v>44985</v>
      </c>
      <c r="C81">
        <v>12.9</v>
      </c>
      <c r="D81" s="1">
        <v>0.79627797353040397</v>
      </c>
      <c r="E81" s="1">
        <v>0.121053166422084</v>
      </c>
    </row>
    <row r="82" spans="1:5" x14ac:dyDescent="0.35">
      <c r="A82">
        <v>20230331</v>
      </c>
      <c r="B82" s="2">
        <f t="shared" si="1"/>
        <v>45016</v>
      </c>
      <c r="C82">
        <v>12.7</v>
      </c>
      <c r="D82" s="1">
        <v>0.38940408687455202</v>
      </c>
      <c r="E82" s="1">
        <v>-0.86032091765381202</v>
      </c>
    </row>
    <row r="83" spans="1:5" x14ac:dyDescent="0.35">
      <c r="A83">
        <v>20230430</v>
      </c>
      <c r="B83" s="2">
        <f t="shared" si="1"/>
        <v>45046</v>
      </c>
      <c r="C83">
        <v>12.4</v>
      </c>
      <c r="D83" s="1">
        <v>-1.03796897903207E-3</v>
      </c>
      <c r="E83" s="1">
        <v>-0.89045601432211896</v>
      </c>
    </row>
    <row r="84" spans="1:5" x14ac:dyDescent="0.35">
      <c r="A84">
        <v>20230531</v>
      </c>
      <c r="B84" s="2">
        <f t="shared" si="1"/>
        <v>45077</v>
      </c>
      <c r="C84">
        <v>11.6</v>
      </c>
      <c r="D84" s="1">
        <v>-0.78306015371659399</v>
      </c>
      <c r="E84" s="1">
        <v>-1.67629932377822</v>
      </c>
    </row>
    <row r="85" spans="1:5" x14ac:dyDescent="0.35">
      <c r="A85">
        <v>20230630</v>
      </c>
      <c r="B85" s="2">
        <f t="shared" si="1"/>
        <v>45107</v>
      </c>
      <c r="C85">
        <v>11.3</v>
      </c>
      <c r="D85" s="1">
        <v>-0.97768999232686005</v>
      </c>
      <c r="E85" s="1">
        <v>-0.43841507116287998</v>
      </c>
    </row>
    <row r="86" spans="1:5" x14ac:dyDescent="0.35">
      <c r="A86">
        <v>20230731</v>
      </c>
      <c r="B86" s="2">
        <f t="shared" si="1"/>
        <v>45138</v>
      </c>
      <c r="C86">
        <v>10.7</v>
      </c>
      <c r="D86" s="1">
        <v>-1.4195328523853901</v>
      </c>
      <c r="E86" s="1">
        <v>-0.903711680339777</v>
      </c>
    </row>
    <row r="87" spans="1:5" x14ac:dyDescent="0.35">
      <c r="A87">
        <v>20230831</v>
      </c>
      <c r="B87" s="2">
        <f t="shared" si="1"/>
        <v>45169</v>
      </c>
      <c r="C87">
        <v>10.6</v>
      </c>
      <c r="D87" s="1">
        <v>-1.2709953546903801</v>
      </c>
      <c r="E87" s="1">
        <v>0.15049878816243301</v>
      </c>
    </row>
    <row r="88" spans="1:5" x14ac:dyDescent="0.35">
      <c r="A88">
        <v>20230930</v>
      </c>
      <c r="B88" s="2">
        <f t="shared" si="1"/>
        <v>45199</v>
      </c>
      <c r="C88">
        <v>10.3</v>
      </c>
      <c r="D88" s="1">
        <v>-1.3362205786078001</v>
      </c>
      <c r="E88" s="1">
        <v>-0.227410572590311</v>
      </c>
    </row>
    <row r="89" spans="1:5" x14ac:dyDescent="0.35">
      <c r="A89">
        <v>20231031</v>
      </c>
      <c r="B89" s="2">
        <f t="shared" si="1"/>
        <v>45230</v>
      </c>
      <c r="C89">
        <v>10.3</v>
      </c>
      <c r="D89" s="1">
        <v>-1.0960611809782399</v>
      </c>
      <c r="E89" s="1">
        <v>0.37063592056611</v>
      </c>
    </row>
    <row r="90" spans="1:5" x14ac:dyDescent="0.35">
      <c r="A90">
        <v>20231130</v>
      </c>
      <c r="B90" s="2">
        <f t="shared" si="1"/>
        <v>45260</v>
      </c>
      <c r="C90">
        <v>10</v>
      </c>
      <c r="D90" s="1">
        <v>-1.1768389942923301</v>
      </c>
      <c r="E90" s="1">
        <v>-0.230520512439674</v>
      </c>
    </row>
    <row r="91" spans="1:5" x14ac:dyDescent="0.35">
      <c r="A91">
        <v>20231231</v>
      </c>
      <c r="B91" s="2">
        <f t="shared" si="1"/>
        <v>45291</v>
      </c>
      <c r="C91">
        <v>9.6999999999999993</v>
      </c>
      <c r="D91" s="1">
        <v>-1.2263902934683</v>
      </c>
      <c r="E91" s="1">
        <v>-0.191405934413234</v>
      </c>
    </row>
    <row r="92" spans="1:5" x14ac:dyDescent="0.35">
      <c r="A92">
        <v>20240131</v>
      </c>
      <c r="B92" s="2">
        <f t="shared" si="1"/>
        <v>45322</v>
      </c>
      <c r="C92">
        <v>8.6999999999999993</v>
      </c>
      <c r="D92" s="1">
        <v>-1.8711642893168401</v>
      </c>
      <c r="E92" s="1">
        <v>-1.4157940126663699</v>
      </c>
    </row>
    <row r="93" spans="1:5" x14ac:dyDescent="0.35">
      <c r="A93">
        <v>20240229</v>
      </c>
      <c r="B93" s="2">
        <f t="shared" si="1"/>
        <v>45351</v>
      </c>
      <c r="C93">
        <v>8.6999999999999993</v>
      </c>
      <c r="D93" s="1">
        <v>-1.5060366198424899</v>
      </c>
      <c r="E93" s="1">
        <v>0.64990948873311805</v>
      </c>
    </row>
    <row r="94" spans="1:5" x14ac:dyDescent="0.35">
      <c r="A94">
        <v>20240331</v>
      </c>
      <c r="B94" s="2">
        <f t="shared" si="1"/>
        <v>45382</v>
      </c>
      <c r="C94">
        <v>8.3000000000000007</v>
      </c>
      <c r="D94" s="1">
        <v>-1.52675881787222</v>
      </c>
      <c r="E94" s="1">
        <v>-0.15591516372254999</v>
      </c>
    </row>
    <row r="95" spans="1:5" x14ac:dyDescent="0.35">
      <c r="A95">
        <v>20240430</v>
      </c>
      <c r="B95" s="2">
        <f t="shared" si="1"/>
        <v>45412</v>
      </c>
      <c r="C95">
        <v>7.2</v>
      </c>
      <c r="D95" s="1">
        <v>-2.0942930801639901</v>
      </c>
      <c r="E95" s="1">
        <v>-1.416451205824</v>
      </c>
    </row>
    <row r="96" spans="1:5" x14ac:dyDescent="0.35">
      <c r="A96">
        <v>20240531</v>
      </c>
      <c r="B96" s="2">
        <f t="shared" si="1"/>
        <v>45443</v>
      </c>
      <c r="C96">
        <v>7</v>
      </c>
      <c r="D96" s="1">
        <v>-1.8504252841664801</v>
      </c>
      <c r="E96" s="1">
        <v>0.61799021032703005</v>
      </c>
    </row>
    <row r="97" spans="1:5" x14ac:dyDescent="0.35">
      <c r="A97">
        <v>20240630</v>
      </c>
      <c r="B97" s="2">
        <f t="shared" si="1"/>
        <v>45473</v>
      </c>
      <c r="C97">
        <v>6.2</v>
      </c>
      <c r="D97" s="1">
        <v>-2.0768142530301401</v>
      </c>
      <c r="E97" s="1">
        <v>-0.62864838064777695</v>
      </c>
    </row>
    <row r="98" spans="1:5" x14ac:dyDescent="0.35">
      <c r="A98">
        <v>20240731</v>
      </c>
      <c r="B98" s="2">
        <f t="shared" si="1"/>
        <v>45504</v>
      </c>
      <c r="C98">
        <v>6.3</v>
      </c>
      <c r="D98" s="1">
        <v>-1.5506558924431799</v>
      </c>
      <c r="E98" s="1">
        <v>1.2360142840275401</v>
      </c>
    </row>
    <row r="99" spans="1:5" x14ac:dyDescent="0.35">
      <c r="A99">
        <v>20240831</v>
      </c>
      <c r="B99" s="2">
        <f t="shared" si="1"/>
        <v>45535</v>
      </c>
      <c r="C99">
        <v>6.3</v>
      </c>
      <c r="D99" s="1">
        <v>-1.2388777346487401</v>
      </c>
      <c r="E99" s="1">
        <v>0.83112869263607503</v>
      </c>
    </row>
    <row r="100" spans="1:5" x14ac:dyDescent="0.35">
      <c r="A100">
        <v>20240930</v>
      </c>
      <c r="B100" s="2">
        <f t="shared" si="1"/>
        <v>45565</v>
      </c>
      <c r="C100">
        <v>6.8</v>
      </c>
      <c r="D100" s="1">
        <v>-0.66205086507690003</v>
      </c>
      <c r="E100" s="1">
        <v>1.6513932598201699</v>
      </c>
    </row>
    <row r="101" spans="1:5" x14ac:dyDescent="0.35">
      <c r="A101">
        <v>20241031</v>
      </c>
      <c r="B101" s="2">
        <f t="shared" si="1"/>
        <v>45596</v>
      </c>
      <c r="C101">
        <v>7.5</v>
      </c>
      <c r="D101" s="1">
        <v>-6.5491548453011403E-2</v>
      </c>
      <c r="E101" s="1">
        <v>1.7462373328193399</v>
      </c>
    </row>
    <row r="102" spans="1:5" x14ac:dyDescent="0.35">
      <c r="A102">
        <v>20241130</v>
      </c>
      <c r="B102" s="2">
        <f t="shared" si="1"/>
        <v>45626</v>
      </c>
      <c r="C102">
        <v>7.1</v>
      </c>
      <c r="D102" s="1">
        <v>-0.29876587144411898</v>
      </c>
      <c r="E102" s="1">
        <v>-0.62411266773640695</v>
      </c>
    </row>
    <row r="103" spans="1:5" x14ac:dyDescent="0.35">
      <c r="A103">
        <v>20241231</v>
      </c>
      <c r="B103" s="2">
        <f t="shared" si="1"/>
        <v>45657</v>
      </c>
      <c r="C103">
        <v>7.3</v>
      </c>
      <c r="D103" s="1">
        <v>-9.4153705674461796E-2</v>
      </c>
      <c r="E103" s="1">
        <v>0.59991063474402995</v>
      </c>
    </row>
    <row r="104" spans="1:5" x14ac:dyDescent="0.35">
      <c r="A104">
        <v>20250131</v>
      </c>
      <c r="B104" s="2">
        <f t="shared" si="1"/>
        <v>45688</v>
      </c>
      <c r="C104">
        <v>7</v>
      </c>
      <c r="D104" s="1">
        <v>-0.247471429815149</v>
      </c>
      <c r="E104" s="1">
        <v>-0.44822546930607898</v>
      </c>
    </row>
    <row r="105" spans="1:5" x14ac:dyDescent="0.35">
      <c r="A105">
        <v>20250228</v>
      </c>
      <c r="B105" s="2">
        <f t="shared" si="1"/>
        <v>45716</v>
      </c>
      <c r="C105">
        <v>7</v>
      </c>
      <c r="D105" s="1">
        <v>-0.159103816560177</v>
      </c>
      <c r="E105" s="1">
        <v>0.16654752498331299</v>
      </c>
    </row>
    <row r="106" spans="1:5" x14ac:dyDescent="0.35">
      <c r="A106">
        <v>20250331</v>
      </c>
      <c r="B106" s="2">
        <f t="shared" si="1"/>
        <v>45747</v>
      </c>
      <c r="C106">
        <v>7</v>
      </c>
      <c r="D106" s="1">
        <v>-9.3845640632431906E-2</v>
      </c>
      <c r="E106" s="1">
        <v>0.17299334188736001</v>
      </c>
    </row>
    <row r="107" spans="1:5" x14ac:dyDescent="0.35">
      <c r="A107">
        <v>20250430</v>
      </c>
      <c r="B107" s="2">
        <f t="shared" si="1"/>
        <v>45777</v>
      </c>
      <c r="C107">
        <v>8</v>
      </c>
      <c r="D107" s="1">
        <v>0.64458306346054395</v>
      </c>
      <c r="E107" s="1">
        <v>2.1009862089801699</v>
      </c>
    </row>
    <row r="108" spans="1:5" x14ac:dyDescent="0.35">
      <c r="A108">
        <v>20250531</v>
      </c>
      <c r="B108" s="2">
        <f t="shared" si="1"/>
        <v>45808</v>
      </c>
      <c r="C108">
        <v>7.9</v>
      </c>
      <c r="D108" s="1">
        <v>0.53158994200483001</v>
      </c>
      <c r="E108" s="1">
        <v>-0.50476160652386803</v>
      </c>
    </row>
    <row r="109" spans="1:5" x14ac:dyDescent="0.35">
      <c r="A109">
        <v>20250630</v>
      </c>
      <c r="B109" s="2">
        <f t="shared" si="1"/>
        <v>45838</v>
      </c>
      <c r="C109">
        <v>8.3000000000000007</v>
      </c>
      <c r="D109" s="1">
        <v>0.80437239513773495</v>
      </c>
      <c r="E109" s="1">
        <v>0.59731754773863799</v>
      </c>
    </row>
    <row r="110" spans="1:5" x14ac:dyDescent="0.35">
      <c r="A110">
        <v>20250731</v>
      </c>
      <c r="B110" s="2">
        <f t="shared" si="1"/>
        <v>45869</v>
      </c>
      <c r="C110">
        <v>8.8000000000000007</v>
      </c>
      <c r="D110" s="1">
        <v>1.11830124173646</v>
      </c>
      <c r="E110" s="1">
        <v>0.70840023600389401</v>
      </c>
    </row>
    <row r="111" spans="1:5" x14ac:dyDescent="0.35">
      <c r="A111">
        <v>20250831</v>
      </c>
      <c r="B111" s="2">
        <f t="shared" si="1"/>
        <v>45900</v>
      </c>
      <c r="C111">
        <v>8.8000000000000007</v>
      </c>
      <c r="D111" s="1">
        <v>1.04070673465977</v>
      </c>
      <c r="E111" s="1">
        <v>-0.45367289355238599</v>
      </c>
    </row>
    <row r="112" spans="1:5" x14ac:dyDescent="0.35">
      <c r="A112">
        <v>20250930</v>
      </c>
      <c r="B112" s="2">
        <f t="shared" si="1"/>
        <v>45930</v>
      </c>
      <c r="C112">
        <v>8.4</v>
      </c>
      <c r="D112" s="1">
        <v>0.67545652585822102</v>
      </c>
      <c r="E112" s="1">
        <v>-1.19934071822495</v>
      </c>
    </row>
    <row r="113" spans="1:5" x14ac:dyDescent="0.35">
      <c r="A113">
        <v>20251031</v>
      </c>
      <c r="B113" s="2">
        <f t="shared" si="1"/>
        <v>45961</v>
      </c>
      <c r="C113">
        <v>8.1999999999999993</v>
      </c>
      <c r="D113" s="1">
        <v>0.51211161471912903</v>
      </c>
      <c r="E113" s="1">
        <v>-0.580281364638363</v>
      </c>
    </row>
    <row r="114" spans="1:5" x14ac:dyDescent="0.35">
      <c r="A114">
        <v>20251130</v>
      </c>
      <c r="B114" s="2">
        <f t="shared" si="1"/>
        <v>45991</v>
      </c>
      <c r="C114">
        <v>8</v>
      </c>
      <c r="D114" s="1">
        <v>0.360932365035806</v>
      </c>
      <c r="E114" s="1">
        <v>-0.46930872181246203</v>
      </c>
    </row>
    <row r="115" spans="1:5" x14ac:dyDescent="0.35">
      <c r="A115">
        <v>20251231</v>
      </c>
      <c r="B115" s="2">
        <f t="shared" si="1"/>
        <v>46022</v>
      </c>
      <c r="C115">
        <v>8.5</v>
      </c>
      <c r="D115" s="1">
        <v>0.83298101882787601</v>
      </c>
      <c r="E115" s="1">
        <v>1.0152326452013301</v>
      </c>
    </row>
    <row r="116" spans="1:5" x14ac:dyDescent="0.35">
      <c r="A116">
        <v>20260131</v>
      </c>
      <c r="B116" s="2">
        <f t="shared" si="1"/>
        <v>46053</v>
      </c>
      <c r="C116">
        <v>9</v>
      </c>
      <c r="D116" s="1">
        <v>1.20114036138529</v>
      </c>
      <c r="E116" s="1">
        <v>0.86096986234153705</v>
      </c>
    </row>
    <row r="117" spans="1:5" x14ac:dyDescent="0.35">
      <c r="A117">
        <v>20260228</v>
      </c>
      <c r="B117" s="2">
        <f t="shared" si="1"/>
        <v>46081</v>
      </c>
      <c r="C117">
        <v>9</v>
      </c>
      <c r="D117" s="1">
        <v>1.1175576479412599</v>
      </c>
      <c r="E117" s="1">
        <v>-0.27457607217320501</v>
      </c>
    </row>
    <row r="118" spans="1:5" x14ac:dyDescent="0.35">
      <c r="A118">
        <v>20260331</v>
      </c>
      <c r="B118" s="2">
        <f t="shared" si="1"/>
        <v>46112</v>
      </c>
      <c r="C118">
        <v>8.5</v>
      </c>
      <c r="D118" s="1">
        <v>0.62927193895466904</v>
      </c>
      <c r="E118" s="1">
        <v>-1.32015906441542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8259-064B-4C2F-BA06-39C6F27F95CB}">
  <dimension ref="A1:E118"/>
  <sheetViews>
    <sheetView workbookViewId="0">
      <selection activeCell="K27" sqref="K27"/>
    </sheetView>
  </sheetViews>
  <sheetFormatPr defaultRowHeight="14.15" x14ac:dyDescent="0.35"/>
  <cols>
    <col min="4" max="4" width="16.5" style="1" bestFit="1" customWidth="1"/>
    <col min="5" max="5" width="18.85546875" style="1" bestFit="1" customWidth="1"/>
  </cols>
  <sheetData>
    <row r="1" spans="1:5" x14ac:dyDescent="0.35">
      <c r="A1" t="s">
        <v>0</v>
      </c>
      <c r="C1" t="s">
        <v>3</v>
      </c>
      <c r="D1" s="1" t="s">
        <v>1</v>
      </c>
      <c r="E1" s="1" t="s">
        <v>2</v>
      </c>
    </row>
    <row r="2" spans="1:5" x14ac:dyDescent="0.35">
      <c r="A2">
        <v>20160731</v>
      </c>
      <c r="B2" s="2">
        <f>DATE(LEFT(A2,4),MID(A2,5,2),RIGHT(A2,2))</f>
        <v>42582</v>
      </c>
      <c r="C2">
        <f>M1_YOY_M!C2-M2_YOY_M!C2</f>
        <v>15.2</v>
      </c>
      <c r="D2" s="1">
        <v>2.72048238504332</v>
      </c>
    </row>
    <row r="3" spans="1:5" x14ac:dyDescent="0.35">
      <c r="A3">
        <v>20160831</v>
      </c>
      <c r="B3" s="2">
        <f t="shared" ref="B3:B66" si="0">DATE(LEFT(A3,4),MID(A3,5,2),RIGHT(A3,2))</f>
        <v>42613</v>
      </c>
      <c r="C3">
        <f>M1_YOY_M!C3-M2_YOY_M!C3</f>
        <v>13.9</v>
      </c>
      <c r="D3" s="1">
        <v>1.55646463080153</v>
      </c>
      <c r="E3" s="1">
        <v>-0.80479670754365296</v>
      </c>
    </row>
    <row r="4" spans="1:5" x14ac:dyDescent="0.35">
      <c r="A4">
        <v>20160930</v>
      </c>
      <c r="B4" s="2">
        <f t="shared" si="0"/>
        <v>42643</v>
      </c>
      <c r="C4">
        <f>M1_YOY_M!C4-M2_YOY_M!C4</f>
        <v>13.2</v>
      </c>
      <c r="D4" s="1">
        <v>1.01750174790434</v>
      </c>
      <c r="E4" s="1">
        <v>-0.46376870515296098</v>
      </c>
    </row>
    <row r="5" spans="1:5" x14ac:dyDescent="0.35">
      <c r="A5">
        <v>20161031</v>
      </c>
      <c r="B5" s="2">
        <f t="shared" si="0"/>
        <v>42674</v>
      </c>
      <c r="C5">
        <f>M1_YOY_M!C5-M2_YOY_M!C5</f>
        <v>12.299999999999999</v>
      </c>
      <c r="D5" s="1">
        <v>0.57329258338837297</v>
      </c>
      <c r="E5" s="1">
        <v>-0.42789261447482202</v>
      </c>
    </row>
    <row r="6" spans="1:5" x14ac:dyDescent="0.35">
      <c r="A6">
        <v>20161130</v>
      </c>
      <c r="B6" s="2">
        <f t="shared" si="0"/>
        <v>42704</v>
      </c>
      <c r="C6">
        <f>M1_YOY_M!C6-M2_YOY_M!C6</f>
        <v>11.299999999999999</v>
      </c>
      <c r="D6" s="1">
        <v>0.191965445860967</v>
      </c>
      <c r="E6" s="1">
        <v>-0.365959094180832</v>
      </c>
    </row>
    <row r="7" spans="1:5" x14ac:dyDescent="0.35">
      <c r="A7">
        <v>20161231</v>
      </c>
      <c r="B7" s="2">
        <f t="shared" si="0"/>
        <v>42735</v>
      </c>
      <c r="C7">
        <f>M1_YOY_M!C7-M2_YOY_M!C7</f>
        <v>10.099999999999998</v>
      </c>
      <c r="D7" s="1">
        <v>-0.175977052023673</v>
      </c>
      <c r="E7" s="1">
        <v>-0.34509979148262099</v>
      </c>
    </row>
    <row r="8" spans="1:5" x14ac:dyDescent="0.35">
      <c r="A8">
        <v>20170131</v>
      </c>
      <c r="B8" s="2">
        <f t="shared" si="0"/>
        <v>42766</v>
      </c>
      <c r="C8">
        <f>M1_YOY_M!C8-M2_YOY_M!C8</f>
        <v>3.8000000000000007</v>
      </c>
      <c r="D8" s="1">
        <v>-1.7478851177933601</v>
      </c>
      <c r="E8" s="1">
        <v>-1.91280026024983</v>
      </c>
    </row>
    <row r="9" spans="1:5" x14ac:dyDescent="0.35">
      <c r="A9">
        <v>20170228</v>
      </c>
      <c r="B9" s="2">
        <f t="shared" si="0"/>
        <v>42794</v>
      </c>
      <c r="C9">
        <f>M1_YOY_M!C9-M2_YOY_M!C9</f>
        <v>10.999999999999998</v>
      </c>
      <c r="D9" s="1">
        <v>0.31454849485553599</v>
      </c>
      <c r="E9" s="1">
        <v>2.7098548033080001</v>
      </c>
    </row>
    <row r="10" spans="1:5" x14ac:dyDescent="0.35">
      <c r="A10">
        <v>20170331</v>
      </c>
      <c r="B10" s="2">
        <f t="shared" si="0"/>
        <v>42825</v>
      </c>
      <c r="C10">
        <f>M1_YOY_M!C10-M2_YOY_M!C10</f>
        <v>8.7000000000000011</v>
      </c>
      <c r="D10" s="1">
        <v>-0.33136568318561999</v>
      </c>
      <c r="E10" s="1">
        <v>-0.62719020833546502</v>
      </c>
    </row>
    <row r="11" spans="1:5" x14ac:dyDescent="0.35">
      <c r="A11">
        <v>20170430</v>
      </c>
      <c r="B11" s="2">
        <f t="shared" si="0"/>
        <v>42855</v>
      </c>
      <c r="C11">
        <f>M1_YOY_M!C11-M2_YOY_M!C11</f>
        <v>8.6999999999999993</v>
      </c>
      <c r="D11" s="1">
        <v>-0.308218159742432</v>
      </c>
      <c r="E11" s="1">
        <v>0.14199068975329601</v>
      </c>
    </row>
    <row r="12" spans="1:5" x14ac:dyDescent="0.35">
      <c r="A12">
        <v>20170531</v>
      </c>
      <c r="B12" s="2">
        <f t="shared" si="0"/>
        <v>42886</v>
      </c>
      <c r="C12">
        <f>M1_YOY_M!C12-M2_YOY_M!C12</f>
        <v>7.9</v>
      </c>
      <c r="D12" s="1">
        <v>-0.48879660471617298</v>
      </c>
      <c r="E12" s="1">
        <v>-9.0380986532941701E-2</v>
      </c>
    </row>
    <row r="13" spans="1:5" x14ac:dyDescent="0.35">
      <c r="A13">
        <v>20170630</v>
      </c>
      <c r="B13" s="2">
        <f t="shared" si="0"/>
        <v>42916</v>
      </c>
      <c r="C13">
        <f>M1_YOY_M!C13-M2_YOY_M!C13</f>
        <v>5.9</v>
      </c>
      <c r="D13" s="1">
        <v>-0.94376740413887406</v>
      </c>
      <c r="E13" s="1">
        <v>-0.40245723039015102</v>
      </c>
    </row>
    <row r="14" spans="1:5" x14ac:dyDescent="0.35">
      <c r="A14">
        <v>20170731</v>
      </c>
      <c r="B14" s="2">
        <f t="shared" si="0"/>
        <v>42947</v>
      </c>
      <c r="C14">
        <f>M1_YOY_M!C14-M2_YOY_M!C14</f>
        <v>6.4</v>
      </c>
      <c r="D14" s="1">
        <v>-0.67167757146559304</v>
      </c>
      <c r="E14" s="1">
        <v>0.42140111282144499</v>
      </c>
    </row>
    <row r="15" spans="1:5" x14ac:dyDescent="0.35">
      <c r="A15">
        <v>20170831</v>
      </c>
      <c r="B15" s="2">
        <f t="shared" si="0"/>
        <v>42978</v>
      </c>
      <c r="C15">
        <f>M1_YOY_M!C15-M2_YOY_M!C15</f>
        <v>5.4</v>
      </c>
      <c r="D15" s="1">
        <v>-0.83486416827124599</v>
      </c>
      <c r="E15" s="1">
        <v>-7.6787801452546905E-2</v>
      </c>
    </row>
    <row r="16" spans="1:5" x14ac:dyDescent="0.35">
      <c r="A16">
        <v>20170930</v>
      </c>
      <c r="B16" s="2">
        <f t="shared" si="0"/>
        <v>43008</v>
      </c>
      <c r="C16">
        <f>M1_YOY_M!C16-M2_YOY_M!C16</f>
        <v>5</v>
      </c>
      <c r="D16" s="1">
        <v>-0.80976904756559498</v>
      </c>
      <c r="E16" s="1">
        <v>0.138377556170517</v>
      </c>
    </row>
    <row r="17" spans="1:5" x14ac:dyDescent="0.35">
      <c r="A17">
        <v>20171031</v>
      </c>
      <c r="B17" s="2">
        <f t="shared" si="0"/>
        <v>43039</v>
      </c>
      <c r="C17">
        <f>M1_YOY_M!C17-M2_YOY_M!C17</f>
        <v>4.0999999999999996</v>
      </c>
      <c r="D17" s="1">
        <v>-0.91706665461683601</v>
      </c>
      <c r="E17" s="1">
        <v>-1.8180872075262401E-2</v>
      </c>
    </row>
    <row r="18" spans="1:5" x14ac:dyDescent="0.35">
      <c r="A18">
        <v>20171130</v>
      </c>
      <c r="B18" s="2">
        <f t="shared" si="0"/>
        <v>43069</v>
      </c>
      <c r="C18">
        <f>M1_YOY_M!C18-M2_YOY_M!C18</f>
        <v>3.5999999999999996</v>
      </c>
      <c r="D18" s="1">
        <v>-0.89623894316649499</v>
      </c>
      <c r="E18" s="1">
        <v>0.13062958849699899</v>
      </c>
    </row>
    <row r="19" spans="1:5" x14ac:dyDescent="0.35">
      <c r="A19">
        <v>20171231</v>
      </c>
      <c r="B19" s="2">
        <f t="shared" si="0"/>
        <v>43100</v>
      </c>
      <c r="C19">
        <f>M1_YOY_M!C19-M2_YOY_M!C19</f>
        <v>3.7000000000000011</v>
      </c>
      <c r="D19" s="1">
        <v>-0.71947697890139195</v>
      </c>
      <c r="E19" s="1">
        <v>0.31978516800097301</v>
      </c>
    </row>
    <row r="20" spans="1:5" x14ac:dyDescent="0.35">
      <c r="A20">
        <v>20180131</v>
      </c>
      <c r="B20" s="2">
        <f t="shared" si="0"/>
        <v>43131</v>
      </c>
      <c r="C20">
        <f>M1_YOY_M!C20-M2_YOY_M!C20</f>
        <v>6.4</v>
      </c>
      <c r="D20" s="1">
        <v>0.112306557680883</v>
      </c>
      <c r="E20" s="1">
        <v>1.12188163247867</v>
      </c>
    </row>
    <row r="21" spans="1:5" x14ac:dyDescent="0.35">
      <c r="A21">
        <v>20180228</v>
      </c>
      <c r="B21" s="2">
        <f t="shared" si="0"/>
        <v>43159</v>
      </c>
      <c r="C21">
        <f>M1_YOY_M!C21-M2_YOY_M!C21</f>
        <v>-0.30000000000000071</v>
      </c>
      <c r="D21" s="1">
        <v>-1.84069326478978</v>
      </c>
      <c r="E21" s="1">
        <v>-2.0788528349547901</v>
      </c>
    </row>
    <row r="22" spans="1:5" x14ac:dyDescent="0.35">
      <c r="A22">
        <v>20180331</v>
      </c>
      <c r="B22" s="2">
        <f t="shared" si="0"/>
        <v>43190</v>
      </c>
      <c r="C22">
        <f>M1_YOY_M!C22-M2_YOY_M!C22</f>
        <v>-1.0999999999999996</v>
      </c>
      <c r="D22" s="1">
        <v>-1.6566757098779401</v>
      </c>
      <c r="E22" s="1">
        <v>0.194527302762039</v>
      </c>
    </row>
    <row r="23" spans="1:5" x14ac:dyDescent="0.35">
      <c r="A23">
        <v>20180430</v>
      </c>
      <c r="B23" s="2">
        <f t="shared" si="0"/>
        <v>43220</v>
      </c>
      <c r="C23">
        <f>M1_YOY_M!C23-M2_YOY_M!C23</f>
        <v>-1.1000000000000005</v>
      </c>
      <c r="D23" s="1">
        <v>-1.30019034830931</v>
      </c>
      <c r="E23" s="1">
        <v>0.43307972470231598</v>
      </c>
    </row>
    <row r="24" spans="1:5" x14ac:dyDescent="0.35">
      <c r="A24">
        <v>20180531</v>
      </c>
      <c r="B24" s="2">
        <f t="shared" si="0"/>
        <v>43251</v>
      </c>
      <c r="C24">
        <f>M1_YOY_M!C24-M2_YOY_M!C24</f>
        <v>-2.3000000000000007</v>
      </c>
      <c r="D24" s="1">
        <v>-1.3460286897857701</v>
      </c>
      <c r="E24" s="1">
        <v>3.5425387130422E-3</v>
      </c>
    </row>
    <row r="25" spans="1:5" x14ac:dyDescent="0.35">
      <c r="A25">
        <v>20180630</v>
      </c>
      <c r="B25" s="2">
        <f t="shared" si="0"/>
        <v>43281</v>
      </c>
      <c r="C25">
        <f>M1_YOY_M!C25-M2_YOY_M!C25</f>
        <v>-1.4000000000000004</v>
      </c>
      <c r="D25" s="1">
        <v>-0.81022168326578903</v>
      </c>
      <c r="E25" s="1">
        <v>0.69282928960444601</v>
      </c>
    </row>
    <row r="26" spans="1:5" x14ac:dyDescent="0.35">
      <c r="A26">
        <v>20180731</v>
      </c>
      <c r="B26" s="2">
        <f t="shared" si="0"/>
        <v>43312</v>
      </c>
      <c r="C26">
        <f>M1_YOY_M!C26-M2_YOY_M!C26</f>
        <v>-3.4000000000000004</v>
      </c>
      <c r="D26" s="1">
        <v>-1.2008631980037601</v>
      </c>
      <c r="E26" s="1">
        <v>-0.33693105115935101</v>
      </c>
    </row>
    <row r="27" spans="1:5" x14ac:dyDescent="0.35">
      <c r="A27">
        <v>20180831</v>
      </c>
      <c r="B27" s="2">
        <f t="shared" si="0"/>
        <v>43343</v>
      </c>
      <c r="C27">
        <f>M1_YOY_M!C27-M2_YOY_M!C27</f>
        <v>-4.2999999999999989</v>
      </c>
      <c r="D27" s="1">
        <v>-1.22114146481843</v>
      </c>
      <c r="E27" s="1">
        <v>9.49252131739729E-2</v>
      </c>
    </row>
    <row r="28" spans="1:5" x14ac:dyDescent="0.35">
      <c r="A28">
        <v>20180930</v>
      </c>
      <c r="B28" s="2">
        <f t="shared" si="0"/>
        <v>43373</v>
      </c>
      <c r="C28">
        <f>M1_YOY_M!C28-M2_YOY_M!C28</f>
        <v>-4.3000000000000007</v>
      </c>
      <c r="D28" s="1">
        <v>-0.96912391220624405</v>
      </c>
      <c r="E28" s="1">
        <v>0.39420241441217502</v>
      </c>
    </row>
    <row r="29" spans="1:5" x14ac:dyDescent="0.35">
      <c r="A29">
        <v>20181031</v>
      </c>
      <c r="B29" s="2">
        <f t="shared" si="0"/>
        <v>43404</v>
      </c>
      <c r="C29">
        <f>M1_YOY_M!C29-M2_YOY_M!C29</f>
        <v>-5.3</v>
      </c>
      <c r="D29" s="1">
        <v>-1.0183992450333501</v>
      </c>
      <c r="E29" s="1">
        <v>1.5685701110460901E-2</v>
      </c>
    </row>
    <row r="30" spans="1:5" x14ac:dyDescent="0.35">
      <c r="A30">
        <v>20181130</v>
      </c>
      <c r="B30" s="2">
        <f t="shared" si="0"/>
        <v>43434</v>
      </c>
      <c r="C30">
        <f>M1_YOY_M!C30-M2_YOY_M!C30</f>
        <v>-6.5</v>
      </c>
      <c r="D30" s="1">
        <v>-1.0930388536028</v>
      </c>
      <c r="E30" s="1">
        <v>-3.5723793579152702E-2</v>
      </c>
    </row>
    <row r="31" spans="1:5" x14ac:dyDescent="0.35">
      <c r="A31">
        <v>20181231</v>
      </c>
      <c r="B31" s="2">
        <f t="shared" si="0"/>
        <v>43465</v>
      </c>
      <c r="C31">
        <f>M1_YOY_M!C31-M2_YOY_M!C31</f>
        <v>-6.6</v>
      </c>
      <c r="D31" s="1">
        <v>-0.85975602469164203</v>
      </c>
      <c r="E31" s="1">
        <v>0.361852206743143</v>
      </c>
    </row>
    <row r="32" spans="1:5" x14ac:dyDescent="0.35">
      <c r="A32">
        <v>20190131</v>
      </c>
      <c r="B32" s="2">
        <f t="shared" si="0"/>
        <v>43496</v>
      </c>
      <c r="C32">
        <f>M1_YOY_M!C32-M2_YOY_M!C32</f>
        <v>-8</v>
      </c>
      <c r="D32" s="1">
        <v>-1.00798505225228</v>
      </c>
      <c r="E32" s="1">
        <v>-0.12517651624760301</v>
      </c>
    </row>
    <row r="33" spans="1:5" x14ac:dyDescent="0.35">
      <c r="A33">
        <v>20190228</v>
      </c>
      <c r="B33" s="2">
        <f t="shared" si="0"/>
        <v>43524</v>
      </c>
      <c r="C33">
        <f>M1_YOY_M!C33-M2_YOY_M!C33</f>
        <v>-6</v>
      </c>
      <c r="D33" s="1">
        <v>-0.26003596206066998</v>
      </c>
      <c r="E33" s="1">
        <v>1.09029781577142</v>
      </c>
    </row>
    <row r="34" spans="1:5" x14ac:dyDescent="0.35">
      <c r="A34">
        <v>20190331</v>
      </c>
      <c r="B34" s="2">
        <f t="shared" si="0"/>
        <v>43555</v>
      </c>
      <c r="C34">
        <f>M1_YOY_M!C34-M2_YOY_M!C34</f>
        <v>-4</v>
      </c>
      <c r="D34" s="1">
        <v>0.33446867877862202</v>
      </c>
      <c r="E34" s="1">
        <v>0.94657424208702101</v>
      </c>
    </row>
    <row r="35" spans="1:5" x14ac:dyDescent="0.35">
      <c r="A35">
        <v>20190430</v>
      </c>
      <c r="B35" s="2">
        <f t="shared" si="0"/>
        <v>43585</v>
      </c>
      <c r="C35">
        <f>M1_YOY_M!C35-M2_YOY_M!C35</f>
        <v>-5.6</v>
      </c>
      <c r="D35" s="1">
        <v>-4.7119367198513798E-2</v>
      </c>
      <c r="E35" s="1">
        <v>-0.629578813481255</v>
      </c>
    </row>
    <row r="36" spans="1:5" x14ac:dyDescent="0.35">
      <c r="A36">
        <v>20190531</v>
      </c>
      <c r="B36" s="2">
        <f t="shared" si="0"/>
        <v>43616</v>
      </c>
      <c r="C36">
        <f>M1_YOY_M!C36-M2_YOY_M!C36</f>
        <v>-5.0999999999999996</v>
      </c>
      <c r="D36" s="1">
        <v>0.17177503517720599</v>
      </c>
      <c r="E36" s="1">
        <v>0.30298963912441901</v>
      </c>
    </row>
    <row r="37" spans="1:5" x14ac:dyDescent="0.35">
      <c r="A37">
        <v>20190630</v>
      </c>
      <c r="B37" s="2">
        <f t="shared" si="0"/>
        <v>43646</v>
      </c>
      <c r="C37">
        <f>M1_YOY_M!C37-M2_YOY_M!C37</f>
        <v>-4.0999999999999996</v>
      </c>
      <c r="D37" s="1">
        <v>0.49786687467009499</v>
      </c>
      <c r="E37" s="1">
        <v>0.43753895494669398</v>
      </c>
    </row>
    <row r="38" spans="1:5" x14ac:dyDescent="0.35">
      <c r="A38">
        <v>20190731</v>
      </c>
      <c r="B38" s="2">
        <f t="shared" si="0"/>
        <v>43677</v>
      </c>
      <c r="C38">
        <f>M1_YOY_M!C38-M2_YOY_M!C38</f>
        <v>-5</v>
      </c>
      <c r="D38" s="1">
        <v>0.275912810484853</v>
      </c>
      <c r="E38" s="1">
        <v>-0.40634009079252897</v>
      </c>
    </row>
    <row r="39" spans="1:5" x14ac:dyDescent="0.35">
      <c r="A39">
        <v>20190831</v>
      </c>
      <c r="B39" s="2">
        <f t="shared" si="0"/>
        <v>43708</v>
      </c>
      <c r="C39">
        <f>M1_YOY_M!C39-M2_YOY_M!C39</f>
        <v>-4.7999999999999989</v>
      </c>
      <c r="D39" s="1">
        <v>0.50635143433746299</v>
      </c>
      <c r="E39" s="1">
        <v>8.6444552490936397E-2</v>
      </c>
    </row>
    <row r="40" spans="1:5" x14ac:dyDescent="0.35">
      <c r="A40">
        <v>20190930</v>
      </c>
      <c r="B40" s="2">
        <f t="shared" si="0"/>
        <v>43738</v>
      </c>
      <c r="C40">
        <f>M1_YOY_M!C40-M2_YOY_M!C40</f>
        <v>-5</v>
      </c>
      <c r="D40" s="1">
        <v>0.59478834132106395</v>
      </c>
      <c r="E40" s="1">
        <v>-7.7411502828567694E-2</v>
      </c>
    </row>
    <row r="41" spans="1:5" x14ac:dyDescent="0.35">
      <c r="A41">
        <v>20191031</v>
      </c>
      <c r="B41" s="2">
        <f t="shared" si="0"/>
        <v>43769</v>
      </c>
      <c r="C41">
        <f>M1_YOY_M!C41-M2_YOY_M!C41</f>
        <v>-5.1000000000000005</v>
      </c>
      <c r="D41" s="1">
        <v>0.71299383720263099</v>
      </c>
      <c r="E41" s="1">
        <v>-1.7619230483962401E-2</v>
      </c>
    </row>
    <row r="42" spans="1:5" x14ac:dyDescent="0.35">
      <c r="A42">
        <v>20191130</v>
      </c>
      <c r="B42" s="2">
        <f t="shared" si="0"/>
        <v>43799</v>
      </c>
      <c r="C42">
        <f>M1_YOY_M!C42-M2_YOY_M!C42</f>
        <v>-4.6999999999999993</v>
      </c>
      <c r="D42" s="1">
        <v>1.0133850073003501</v>
      </c>
      <c r="E42" s="1">
        <v>0.191603260125942</v>
      </c>
    </row>
    <row r="43" spans="1:5" x14ac:dyDescent="0.35">
      <c r="A43">
        <v>20191231</v>
      </c>
      <c r="B43" s="2">
        <f t="shared" si="0"/>
        <v>43830</v>
      </c>
      <c r="C43">
        <f>M1_YOY_M!C43-M2_YOY_M!C43</f>
        <v>-4.2999999999999989</v>
      </c>
      <c r="D43" s="1">
        <v>1.250353195</v>
      </c>
      <c r="E43" s="1">
        <v>0.160987357017289</v>
      </c>
    </row>
    <row r="44" spans="1:5" x14ac:dyDescent="0.35">
      <c r="A44">
        <v>20200131</v>
      </c>
      <c r="B44" s="2">
        <f t="shared" si="0"/>
        <v>43861</v>
      </c>
      <c r="C44">
        <f>M1_YOY_M!C44-M2_YOY_M!C44</f>
        <v>-8.4</v>
      </c>
      <c r="D44" s="1">
        <v>-0.52668671722063298</v>
      </c>
      <c r="E44" s="1">
        <v>-1.6697523079696399</v>
      </c>
    </row>
    <row r="45" spans="1:5" x14ac:dyDescent="0.35">
      <c r="A45">
        <v>20200229</v>
      </c>
      <c r="B45" s="2">
        <f t="shared" si="0"/>
        <v>43890</v>
      </c>
      <c r="C45">
        <f>M1_YOY_M!C45-M2_YOY_M!C45</f>
        <v>-4.0000000000000009</v>
      </c>
      <c r="D45" s="1">
        <v>1.6284567222311399</v>
      </c>
      <c r="E45" s="1">
        <v>1.9693466070886101</v>
      </c>
    </row>
    <row r="46" spans="1:5" x14ac:dyDescent="0.35">
      <c r="A46">
        <v>20200331</v>
      </c>
      <c r="B46" s="2">
        <f t="shared" si="0"/>
        <v>43921</v>
      </c>
      <c r="C46">
        <f>M1_YOY_M!C46-M2_YOY_M!C46</f>
        <v>-5.0999999999999996</v>
      </c>
      <c r="D46" s="1">
        <v>1.1040102970194301</v>
      </c>
      <c r="E46" s="1">
        <v>-0.50729565980826397</v>
      </c>
    </row>
    <row r="47" spans="1:5" x14ac:dyDescent="0.35">
      <c r="A47">
        <v>20200430</v>
      </c>
      <c r="B47" s="2">
        <f t="shared" si="0"/>
        <v>43951</v>
      </c>
      <c r="C47">
        <f>M1_YOY_M!C47-M2_YOY_M!C47</f>
        <v>-5.6</v>
      </c>
      <c r="D47" s="1">
        <v>0.877692311344208</v>
      </c>
      <c r="E47" s="1">
        <v>-0.16948087250214999</v>
      </c>
    </row>
    <row r="48" spans="1:5" x14ac:dyDescent="0.35">
      <c r="A48">
        <v>20200531</v>
      </c>
      <c r="B48" s="2">
        <f t="shared" si="0"/>
        <v>43982</v>
      </c>
      <c r="C48">
        <f>M1_YOY_M!C48-M2_YOY_M!C48</f>
        <v>-4.3</v>
      </c>
      <c r="D48" s="1">
        <v>1.5089708268456401</v>
      </c>
      <c r="E48" s="1">
        <v>0.55742008103164398</v>
      </c>
    </row>
    <row r="49" spans="1:5" x14ac:dyDescent="0.35">
      <c r="A49">
        <v>20200630</v>
      </c>
      <c r="B49" s="2">
        <f t="shared" si="0"/>
        <v>44012</v>
      </c>
      <c r="C49">
        <f>M1_YOY_M!C49-M2_YOY_M!C49</f>
        <v>-4.5999999999999996</v>
      </c>
      <c r="D49" s="1">
        <v>1.2616378407009401</v>
      </c>
      <c r="E49" s="1">
        <v>-0.14558769691953799</v>
      </c>
    </row>
    <row r="50" spans="1:5" x14ac:dyDescent="0.35">
      <c r="A50">
        <v>20200731</v>
      </c>
      <c r="B50" s="2">
        <f t="shared" si="0"/>
        <v>44043</v>
      </c>
      <c r="C50">
        <f>M1_YOY_M!C50-M2_YOY_M!C50</f>
        <v>-3.7999999999999989</v>
      </c>
      <c r="D50" s="1">
        <v>1.5147557599570201</v>
      </c>
      <c r="E50" s="1">
        <v>0.30208873058678098</v>
      </c>
    </row>
    <row r="51" spans="1:5" x14ac:dyDescent="0.35">
      <c r="A51">
        <v>20200831</v>
      </c>
      <c r="B51" s="2">
        <f t="shared" si="0"/>
        <v>44074</v>
      </c>
      <c r="C51">
        <f>M1_YOY_M!C51-M2_YOY_M!C51</f>
        <v>-2.4000000000000004</v>
      </c>
      <c r="D51" s="1">
        <v>1.94483111451683</v>
      </c>
      <c r="E51" s="1">
        <v>0.59216391629168397</v>
      </c>
    </row>
    <row r="52" spans="1:5" x14ac:dyDescent="0.35">
      <c r="A52">
        <v>20200930</v>
      </c>
      <c r="B52" s="2">
        <f t="shared" si="0"/>
        <v>44104</v>
      </c>
      <c r="C52">
        <f>M1_YOY_M!C52-M2_YOY_M!C52</f>
        <v>-2.8000000000000007</v>
      </c>
      <c r="D52" s="1">
        <v>1.4935115973222099</v>
      </c>
      <c r="E52" s="1">
        <v>-0.28225262759042502</v>
      </c>
    </row>
    <row r="53" spans="1:5" x14ac:dyDescent="0.35">
      <c r="A53">
        <v>20201031</v>
      </c>
      <c r="B53" s="2">
        <f t="shared" si="0"/>
        <v>44135</v>
      </c>
      <c r="C53">
        <f>M1_YOY_M!C53-M2_YOY_M!C53</f>
        <v>-1.4000000000000004</v>
      </c>
      <c r="D53" s="1">
        <v>1.85021591826995</v>
      </c>
      <c r="E53" s="1">
        <v>0.52538808684268201</v>
      </c>
    </row>
    <row r="54" spans="1:5" x14ac:dyDescent="0.35">
      <c r="A54">
        <v>20201130</v>
      </c>
      <c r="B54" s="2">
        <f t="shared" si="0"/>
        <v>44165</v>
      </c>
      <c r="C54">
        <f>M1_YOY_M!C54-M2_YOY_M!C54</f>
        <v>-0.69999999999999929</v>
      </c>
      <c r="D54" s="1">
        <v>1.81549207189643</v>
      </c>
      <c r="E54" s="1">
        <v>0.12576907637633</v>
      </c>
    </row>
    <row r="55" spans="1:5" x14ac:dyDescent="0.35">
      <c r="A55">
        <v>20201231</v>
      </c>
      <c r="B55" s="2">
        <f t="shared" si="0"/>
        <v>44196</v>
      </c>
      <c r="C55">
        <f>M1_YOY_M!C55-M2_YOY_M!C55</f>
        <v>-1.5</v>
      </c>
      <c r="D55" s="1">
        <v>1.2342438233081101</v>
      </c>
      <c r="E55" s="1">
        <v>-0.55282280434817599</v>
      </c>
    </row>
    <row r="56" spans="1:5" x14ac:dyDescent="0.35">
      <c r="A56">
        <v>20210131</v>
      </c>
      <c r="B56" s="2">
        <f t="shared" si="0"/>
        <v>44227</v>
      </c>
      <c r="C56">
        <f>M1_YOY_M!C56-M2_YOY_M!C56</f>
        <v>5.2999999999999989</v>
      </c>
      <c r="D56" s="1">
        <v>3</v>
      </c>
      <c r="E56" s="1">
        <v>2.7978361835983101</v>
      </c>
    </row>
    <row r="57" spans="1:5" x14ac:dyDescent="0.35">
      <c r="A57">
        <v>20210228</v>
      </c>
      <c r="B57" s="2">
        <f t="shared" si="0"/>
        <v>44255</v>
      </c>
      <c r="C57">
        <f>M1_YOY_M!C57-M2_YOY_M!C57</f>
        <v>-2.6999999999999993</v>
      </c>
      <c r="D57" s="1">
        <v>0.120500350296664</v>
      </c>
      <c r="E57" s="1">
        <v>-3</v>
      </c>
    </row>
    <row r="58" spans="1:5" x14ac:dyDescent="0.35">
      <c r="A58">
        <v>20210331</v>
      </c>
      <c r="B58" s="2">
        <f t="shared" si="0"/>
        <v>44286</v>
      </c>
      <c r="C58">
        <f>M1_YOY_M!C58-M2_YOY_M!C58</f>
        <v>-2.3000000000000007</v>
      </c>
      <c r="D58" s="1">
        <v>0.251711945552891</v>
      </c>
      <c r="E58" s="1">
        <v>0.25527103020173902</v>
      </c>
    </row>
    <row r="59" spans="1:5" x14ac:dyDescent="0.35">
      <c r="A59">
        <v>20210430</v>
      </c>
      <c r="B59" s="2">
        <f t="shared" si="0"/>
        <v>44316</v>
      </c>
      <c r="C59">
        <f>M1_YOY_M!C59-M2_YOY_M!C59</f>
        <v>-1.8999999999999995</v>
      </c>
      <c r="D59" s="1">
        <v>0.36117366571057602</v>
      </c>
      <c r="E59" s="1">
        <v>0.19507985492240101</v>
      </c>
    </row>
    <row r="60" spans="1:5" x14ac:dyDescent="0.35">
      <c r="A60">
        <v>20210531</v>
      </c>
      <c r="B60" s="2">
        <f t="shared" si="0"/>
        <v>44347</v>
      </c>
      <c r="C60">
        <f>M1_YOY_M!C60-M2_YOY_M!C60</f>
        <v>-2.2000000000000011</v>
      </c>
      <c r="D60" s="1">
        <v>0.220883511870509</v>
      </c>
      <c r="E60" s="1">
        <v>-0.13063429662648601</v>
      </c>
    </row>
    <row r="61" spans="1:5" x14ac:dyDescent="0.35">
      <c r="A61">
        <v>20210630</v>
      </c>
      <c r="B61" s="2">
        <f t="shared" si="0"/>
        <v>44377</v>
      </c>
      <c r="C61">
        <f>M1_YOY_M!C61-M2_YOY_M!C61</f>
        <v>-3.0999999999999996</v>
      </c>
      <c r="D61" s="1">
        <v>-0.117671664568365</v>
      </c>
      <c r="E61" s="1">
        <v>-0.36562594643608498</v>
      </c>
    </row>
    <row r="62" spans="1:5" x14ac:dyDescent="0.35">
      <c r="A62">
        <v>20210731</v>
      </c>
      <c r="B62" s="2">
        <f t="shared" si="0"/>
        <v>44408</v>
      </c>
      <c r="C62">
        <f>M1_YOY_M!C62-M2_YOY_M!C62</f>
        <v>-3.4000000000000004</v>
      </c>
      <c r="D62" s="1">
        <v>-0.18974533949948499</v>
      </c>
      <c r="E62" s="1">
        <v>-6.8647892000105404E-2</v>
      </c>
    </row>
    <row r="63" spans="1:5" x14ac:dyDescent="0.35">
      <c r="A63">
        <v>20210831</v>
      </c>
      <c r="B63" s="2">
        <f t="shared" si="0"/>
        <v>44439</v>
      </c>
      <c r="C63">
        <f>M1_YOY_M!C63-M2_YOY_M!C63</f>
        <v>-3.9999999999999991</v>
      </c>
      <c r="D63" s="1">
        <v>-0.384896159143294</v>
      </c>
      <c r="E63" s="1">
        <v>-0.17731204153904101</v>
      </c>
    </row>
    <row r="64" spans="1:5" x14ac:dyDescent="0.35">
      <c r="A64">
        <v>20210930</v>
      </c>
      <c r="B64" s="2">
        <f t="shared" si="0"/>
        <v>44469</v>
      </c>
      <c r="C64">
        <f>M1_YOY_M!C64-M2_YOY_M!C64</f>
        <v>-4.6000000000000005</v>
      </c>
      <c r="D64" s="1">
        <v>-0.57062295517984096</v>
      </c>
      <c r="E64" s="1">
        <v>-0.15363175199367901</v>
      </c>
    </row>
    <row r="65" spans="1:5" x14ac:dyDescent="0.35">
      <c r="A65">
        <v>20211031</v>
      </c>
      <c r="B65" s="2">
        <f t="shared" si="0"/>
        <v>44500</v>
      </c>
      <c r="C65">
        <f>M1_YOY_M!C65-M2_YOY_M!C65</f>
        <v>-5.8999999999999995</v>
      </c>
      <c r="D65" s="1">
        <v>-1.00206878972442</v>
      </c>
      <c r="E65" s="1">
        <v>-0.42265212251136403</v>
      </c>
    </row>
    <row r="66" spans="1:5" x14ac:dyDescent="0.35">
      <c r="A66">
        <v>20211130</v>
      </c>
      <c r="B66" s="2">
        <f t="shared" si="0"/>
        <v>44530</v>
      </c>
      <c r="C66">
        <f>M1_YOY_M!C66-M2_YOY_M!C66</f>
        <v>-5.5</v>
      </c>
      <c r="D66" s="1">
        <v>-0.70480453575817803</v>
      </c>
      <c r="E66" s="1">
        <v>0.360437225176232</v>
      </c>
    </row>
    <row r="67" spans="1:5" x14ac:dyDescent="0.35">
      <c r="A67">
        <v>20211231</v>
      </c>
      <c r="B67" s="2">
        <f t="shared" ref="B67:B118" si="1">DATE(LEFT(A67,4),MID(A67,5,2),RIGHT(A67,2))</f>
        <v>44561</v>
      </c>
      <c r="C67">
        <f>M1_YOY_M!C67-M2_YOY_M!C67</f>
        <v>-5.5</v>
      </c>
      <c r="D67" s="1">
        <v>-0.63944739744524703</v>
      </c>
      <c r="E67" s="1">
        <v>0.12892120050858899</v>
      </c>
    </row>
    <row r="68" spans="1:5" x14ac:dyDescent="0.35">
      <c r="A68">
        <v>20220131</v>
      </c>
      <c r="B68" s="2">
        <f t="shared" si="1"/>
        <v>44592</v>
      </c>
      <c r="C68">
        <f>M1_YOY_M!C68-M2_YOY_M!C68</f>
        <v>-11.700000000000001</v>
      </c>
      <c r="D68" s="1">
        <v>-3</v>
      </c>
      <c r="E68" s="1">
        <v>-2.4918121837518799</v>
      </c>
    </row>
    <row r="69" spans="1:5" x14ac:dyDescent="0.35">
      <c r="A69">
        <v>20220228</v>
      </c>
      <c r="B69" s="2">
        <f t="shared" si="1"/>
        <v>44620</v>
      </c>
      <c r="C69">
        <f>M1_YOY_M!C69-M2_YOY_M!C69</f>
        <v>-4.4999999999999991</v>
      </c>
      <c r="D69" s="1">
        <v>0.38722132579872798</v>
      </c>
      <c r="E69" s="1">
        <v>3</v>
      </c>
    </row>
    <row r="70" spans="1:5" x14ac:dyDescent="0.35">
      <c r="A70">
        <v>20220331</v>
      </c>
      <c r="B70" s="2">
        <f t="shared" si="1"/>
        <v>44651</v>
      </c>
      <c r="C70">
        <f>M1_YOY_M!C70-M2_YOY_M!C70</f>
        <v>-4.9999999999999991</v>
      </c>
      <c r="D70" s="1">
        <v>0.10765232526759599</v>
      </c>
      <c r="E70" s="1">
        <v>-0.28763866567101798</v>
      </c>
    </row>
    <row r="71" spans="1:5" x14ac:dyDescent="0.35">
      <c r="A71">
        <v>20220430</v>
      </c>
      <c r="B71" s="2">
        <f t="shared" si="1"/>
        <v>44681</v>
      </c>
      <c r="C71">
        <f>M1_YOY_M!C71-M2_YOY_M!C71</f>
        <v>-5.4</v>
      </c>
      <c r="D71" s="1">
        <v>-6.22678979405814E-2</v>
      </c>
      <c r="E71" s="1">
        <v>-0.207041311525344</v>
      </c>
    </row>
    <row r="72" spans="1:5" x14ac:dyDescent="0.35">
      <c r="A72">
        <v>20220531</v>
      </c>
      <c r="B72" s="2">
        <f t="shared" si="1"/>
        <v>44712</v>
      </c>
      <c r="C72">
        <f>M1_YOY_M!C72-M2_YOY_M!C72</f>
        <v>-6.5</v>
      </c>
      <c r="D72" s="1">
        <v>-0.51083302561570398</v>
      </c>
      <c r="E72" s="1">
        <v>-0.44207718693651699</v>
      </c>
    </row>
    <row r="73" spans="1:5" x14ac:dyDescent="0.35">
      <c r="A73">
        <v>20220630</v>
      </c>
      <c r="B73" s="2">
        <f t="shared" si="1"/>
        <v>44742</v>
      </c>
      <c r="C73">
        <f>M1_YOY_M!C73-M2_YOY_M!C73</f>
        <v>-5.6000000000000005</v>
      </c>
      <c r="D73" s="1">
        <v>-4.3299407530187801E-2</v>
      </c>
      <c r="E73" s="1">
        <v>0.39587428248828099</v>
      </c>
    </row>
    <row r="74" spans="1:5" x14ac:dyDescent="0.35">
      <c r="A74">
        <v>20220731</v>
      </c>
      <c r="B74" s="2">
        <f t="shared" si="1"/>
        <v>44773</v>
      </c>
      <c r="C74">
        <f>M1_YOY_M!C74-M2_YOY_M!C74</f>
        <v>-5.3</v>
      </c>
      <c r="D74" s="1">
        <v>0.10457255888146499</v>
      </c>
      <c r="E74" s="1">
        <v>0.10422032589982</v>
      </c>
    </row>
    <row r="75" spans="1:5" x14ac:dyDescent="0.35">
      <c r="A75">
        <v>20220831</v>
      </c>
      <c r="B75" s="2">
        <f t="shared" si="1"/>
        <v>44804</v>
      </c>
      <c r="C75">
        <f>M1_YOY_M!C75-M2_YOY_M!C75</f>
        <v>-6.1</v>
      </c>
      <c r="D75" s="1">
        <v>-0.23886888765276601</v>
      </c>
      <c r="E75" s="1">
        <v>-0.35629682772060101</v>
      </c>
    </row>
    <row r="76" spans="1:5" x14ac:dyDescent="0.35">
      <c r="A76">
        <v>20220930</v>
      </c>
      <c r="B76" s="2">
        <f t="shared" si="1"/>
        <v>44834</v>
      </c>
      <c r="C76">
        <f>M1_YOY_M!C76-M2_YOY_M!C76</f>
        <v>-5.6999999999999993</v>
      </c>
      <c r="D76" s="1">
        <v>-2.17481382912867E-2</v>
      </c>
      <c r="E76" s="1">
        <v>0.16247946028124699</v>
      </c>
    </row>
    <row r="77" spans="1:5" x14ac:dyDescent="0.35">
      <c r="A77">
        <v>20221031</v>
      </c>
      <c r="B77" s="2">
        <f t="shared" si="1"/>
        <v>44865</v>
      </c>
      <c r="C77">
        <f>M1_YOY_M!C77-M2_YOY_M!C77</f>
        <v>-6.0000000000000009</v>
      </c>
      <c r="D77" s="1">
        <v>-0.134389393550609</v>
      </c>
      <c r="E77" s="1">
        <v>-0.13671060752720199</v>
      </c>
    </row>
    <row r="78" spans="1:5" x14ac:dyDescent="0.35">
      <c r="A78">
        <v>20221130</v>
      </c>
      <c r="B78" s="2">
        <f t="shared" si="1"/>
        <v>44895</v>
      </c>
      <c r="C78">
        <f>M1_YOY_M!C78-M2_YOY_M!C78</f>
        <v>-7.8000000000000007</v>
      </c>
      <c r="D78" s="1">
        <v>-0.84757731936648395</v>
      </c>
      <c r="E78" s="1">
        <v>-0.70216766561830701</v>
      </c>
    </row>
    <row r="79" spans="1:5" x14ac:dyDescent="0.35">
      <c r="A79">
        <v>20221231</v>
      </c>
      <c r="B79" s="2">
        <f t="shared" si="1"/>
        <v>44926</v>
      </c>
      <c r="C79">
        <f>M1_YOY_M!C79-M2_YOY_M!C79</f>
        <v>-8.1000000000000014</v>
      </c>
      <c r="D79" s="1">
        <v>-0.79773484174629095</v>
      </c>
      <c r="E79" s="1">
        <v>-8.4255069384300205E-3</v>
      </c>
    </row>
    <row r="80" spans="1:5" x14ac:dyDescent="0.35">
      <c r="A80">
        <v>20230131</v>
      </c>
      <c r="B80" s="2">
        <f t="shared" si="1"/>
        <v>44957</v>
      </c>
      <c r="C80">
        <f>M1_YOY_M!C80-M2_YOY_M!C80</f>
        <v>-5.8999999999999995</v>
      </c>
      <c r="D80" s="1">
        <v>0.26678579456566698</v>
      </c>
      <c r="E80" s="1">
        <v>0.95865826234469798</v>
      </c>
    </row>
    <row r="81" spans="1:5" x14ac:dyDescent="0.35">
      <c r="A81">
        <v>20230228</v>
      </c>
      <c r="B81" s="2">
        <f t="shared" si="1"/>
        <v>44985</v>
      </c>
      <c r="C81">
        <f>M1_YOY_M!C81-M2_YOY_M!C81</f>
        <v>-7.1000000000000005</v>
      </c>
      <c r="D81" s="1">
        <v>-0.29875257547720202</v>
      </c>
      <c r="E81" s="1">
        <v>-0.52458101284182701</v>
      </c>
    </row>
    <row r="82" spans="1:5" x14ac:dyDescent="0.35">
      <c r="A82">
        <v>20230331</v>
      </c>
      <c r="B82" s="2">
        <f t="shared" si="1"/>
        <v>45016</v>
      </c>
      <c r="C82">
        <f>M1_YOY_M!C82-M2_YOY_M!C82</f>
        <v>-7.6</v>
      </c>
      <c r="D82" s="1">
        <v>-0.42761009097253899</v>
      </c>
      <c r="E82" s="1">
        <v>-0.15204433168808901</v>
      </c>
    </row>
    <row r="83" spans="1:5" x14ac:dyDescent="0.35">
      <c r="A83">
        <v>20230430</v>
      </c>
      <c r="B83" s="2">
        <f t="shared" si="1"/>
        <v>45046</v>
      </c>
      <c r="C83">
        <f>M1_YOY_M!C83-M2_YOY_M!C83</f>
        <v>-7.1000000000000005</v>
      </c>
      <c r="D83" s="1">
        <v>-0.122281019350842</v>
      </c>
      <c r="E83" s="1">
        <v>0.27975308307306501</v>
      </c>
    </row>
    <row r="84" spans="1:5" x14ac:dyDescent="0.35">
      <c r="A84">
        <v>20230531</v>
      </c>
      <c r="B84" s="2">
        <f t="shared" si="1"/>
        <v>45077</v>
      </c>
      <c r="C84">
        <f>M1_YOY_M!C84-M2_YOY_M!C84</f>
        <v>-6.8999999999999995</v>
      </c>
      <c r="D84" s="1">
        <v>-2.1868702464329101E-3</v>
      </c>
      <c r="E84" s="1">
        <v>0.10324352774331499</v>
      </c>
    </row>
    <row r="85" spans="1:5" x14ac:dyDescent="0.35">
      <c r="A85">
        <v>20230630</v>
      </c>
      <c r="B85" s="2">
        <f t="shared" si="1"/>
        <v>45107</v>
      </c>
      <c r="C85">
        <f>M1_YOY_M!C85-M2_YOY_M!C85</f>
        <v>-8.2000000000000011</v>
      </c>
      <c r="D85" s="1">
        <v>-0.51797586988677202</v>
      </c>
      <c r="E85" s="1">
        <v>-0.496407694693907</v>
      </c>
    </row>
    <row r="86" spans="1:5" x14ac:dyDescent="0.35">
      <c r="A86">
        <v>20230731</v>
      </c>
      <c r="B86" s="2">
        <f t="shared" si="1"/>
        <v>45138</v>
      </c>
      <c r="C86">
        <f>M1_YOY_M!C86-M2_YOY_M!C86</f>
        <v>-8.3999999999999986</v>
      </c>
      <c r="D86" s="1">
        <v>-0.47917657787087797</v>
      </c>
      <c r="E86" s="1">
        <v>2.8617293169432699E-2</v>
      </c>
    </row>
    <row r="87" spans="1:5" x14ac:dyDescent="0.35">
      <c r="A87">
        <v>20230831</v>
      </c>
      <c r="B87" s="2">
        <f t="shared" si="1"/>
        <v>45169</v>
      </c>
      <c r="C87">
        <f>M1_YOY_M!C87-M2_YOY_M!C87</f>
        <v>-8.3999999999999986</v>
      </c>
      <c r="D87" s="1">
        <v>-0.35282095642280997</v>
      </c>
      <c r="E87" s="1">
        <v>9.6787946006025902E-2</v>
      </c>
    </row>
    <row r="88" spans="1:5" x14ac:dyDescent="0.35">
      <c r="A88">
        <v>20230930</v>
      </c>
      <c r="B88" s="2">
        <f t="shared" si="1"/>
        <v>45199</v>
      </c>
      <c r="C88">
        <f>M1_YOY_M!C88-M2_YOY_M!C88</f>
        <v>-8.2000000000000011</v>
      </c>
      <c r="D88" s="1">
        <v>-0.147127130572624</v>
      </c>
      <c r="E88" s="1">
        <v>0.161785663033709</v>
      </c>
    </row>
    <row r="89" spans="1:5" x14ac:dyDescent="0.35">
      <c r="A89">
        <v>20231031</v>
      </c>
      <c r="B89" s="2">
        <f t="shared" si="1"/>
        <v>45230</v>
      </c>
      <c r="C89">
        <f>M1_YOY_M!C89-M2_YOY_M!C89</f>
        <v>-8.4</v>
      </c>
      <c r="D89" s="1">
        <v>-0.14768788499407301</v>
      </c>
      <c r="E89" s="1">
        <v>-2.2863359389684298E-2</v>
      </c>
    </row>
    <row r="90" spans="1:5" x14ac:dyDescent="0.35">
      <c r="A90">
        <v>20231130</v>
      </c>
      <c r="B90" s="2">
        <f t="shared" si="1"/>
        <v>45260</v>
      </c>
      <c r="C90">
        <f>M1_YOY_M!C90-M2_YOY_M!C90</f>
        <v>-8.6999999999999993</v>
      </c>
      <c r="D90" s="1">
        <v>-0.17625112913522201</v>
      </c>
      <c r="E90" s="1">
        <v>-5.76471162267179E-2</v>
      </c>
    </row>
    <row r="91" spans="1:5" x14ac:dyDescent="0.35">
      <c r="A91">
        <v>20231231</v>
      </c>
      <c r="B91" s="2">
        <f t="shared" si="1"/>
        <v>45291</v>
      </c>
      <c r="C91">
        <f>M1_YOY_M!C91-M2_YOY_M!C91</f>
        <v>-8.3999999999999986</v>
      </c>
      <c r="D91" s="1">
        <v>8.8334896530428503E-2</v>
      </c>
      <c r="E91" s="1">
        <v>0.191695159136205</v>
      </c>
    </row>
    <row r="92" spans="1:5" x14ac:dyDescent="0.35">
      <c r="A92">
        <v>20240131</v>
      </c>
      <c r="B92" s="2">
        <f t="shared" si="1"/>
        <v>45322</v>
      </c>
      <c r="C92">
        <f>M1_YOY_M!C92-M2_YOY_M!C92</f>
        <v>-5.3999999999999995</v>
      </c>
      <c r="D92" s="1">
        <v>1.5994289572815099</v>
      </c>
      <c r="E92" s="1">
        <v>1.2194456307166901</v>
      </c>
    </row>
    <row r="93" spans="1:5" x14ac:dyDescent="0.35">
      <c r="A93">
        <v>20240229</v>
      </c>
      <c r="B93" s="2">
        <f t="shared" si="1"/>
        <v>45351</v>
      </c>
      <c r="C93">
        <f>M1_YOY_M!C93-M2_YOY_M!C93</f>
        <v>-6.1</v>
      </c>
      <c r="D93" s="1">
        <v>1.6100166341348301</v>
      </c>
      <c r="E93" s="1">
        <v>-0.48041901672835102</v>
      </c>
    </row>
    <row r="94" spans="1:5" x14ac:dyDescent="0.35">
      <c r="A94">
        <v>20240331</v>
      </c>
      <c r="B94" s="2">
        <f t="shared" si="1"/>
        <v>45382</v>
      </c>
      <c r="C94">
        <f>M1_YOY_M!C94-M2_YOY_M!C94</f>
        <v>-6.0000000000000009</v>
      </c>
      <c r="D94" s="1">
        <v>1.43999982156759</v>
      </c>
      <c r="E94" s="1">
        <v>-4.8834609748747697E-2</v>
      </c>
    </row>
    <row r="95" spans="1:5" x14ac:dyDescent="0.35">
      <c r="A95">
        <v>20240430</v>
      </c>
      <c r="B95" s="2">
        <f t="shared" si="1"/>
        <v>45412</v>
      </c>
      <c r="C95">
        <f>M1_YOY_M!C95-M2_YOY_M!C95</f>
        <v>-6.6000000000000005</v>
      </c>
      <c r="D95" s="1">
        <v>0.87696975098207597</v>
      </c>
      <c r="E95" s="1">
        <v>-0.34171884978234401</v>
      </c>
    </row>
    <row r="96" spans="1:5" x14ac:dyDescent="0.35">
      <c r="A96">
        <v>20240531</v>
      </c>
      <c r="B96" s="2">
        <f t="shared" si="1"/>
        <v>45443</v>
      </c>
      <c r="C96">
        <f>M1_YOY_M!C96-M2_YOY_M!C96</f>
        <v>-7.8</v>
      </c>
      <c r="D96" s="1">
        <v>7.6200942453067105E-2</v>
      </c>
      <c r="E96" s="1">
        <v>-0.53637776865068598</v>
      </c>
    </row>
    <row r="97" spans="1:5" x14ac:dyDescent="0.35">
      <c r="A97">
        <v>20240630</v>
      </c>
      <c r="B97" s="2">
        <f t="shared" si="1"/>
        <v>45473</v>
      </c>
      <c r="C97">
        <f>M1_YOY_M!C97-M2_YOY_M!C97</f>
        <v>-7.9</v>
      </c>
      <c r="D97" s="1">
        <v>9.9063549836696602E-2</v>
      </c>
      <c r="E97" s="1">
        <v>2.2950432548027099E-2</v>
      </c>
    </row>
    <row r="98" spans="1:5" x14ac:dyDescent="0.35">
      <c r="A98">
        <v>20240731</v>
      </c>
      <c r="B98" s="2">
        <f t="shared" si="1"/>
        <v>45504</v>
      </c>
      <c r="C98">
        <f>M1_YOY_M!C98-M2_YOY_M!C98</f>
        <v>-8.9</v>
      </c>
      <c r="D98" s="1">
        <v>-0.453522457572552</v>
      </c>
      <c r="E98" s="1">
        <v>-0.35510491372928699</v>
      </c>
    </row>
    <row r="99" spans="1:5" x14ac:dyDescent="0.35">
      <c r="A99">
        <v>20240831</v>
      </c>
      <c r="B99" s="2">
        <f t="shared" si="1"/>
        <v>45535</v>
      </c>
      <c r="C99">
        <f>M1_YOY_M!C99-M2_YOY_M!C99</f>
        <v>-9.3000000000000007</v>
      </c>
      <c r="D99" s="1">
        <v>-0.53580577743548596</v>
      </c>
      <c r="E99" s="1">
        <v>-3.6397660110305E-2</v>
      </c>
    </row>
    <row r="100" spans="1:5" x14ac:dyDescent="0.35">
      <c r="A100">
        <v>20240930</v>
      </c>
      <c r="B100" s="2">
        <f t="shared" si="1"/>
        <v>45565</v>
      </c>
      <c r="C100">
        <f>M1_YOY_M!C100-M2_YOY_M!C100</f>
        <v>-10.1</v>
      </c>
      <c r="D100" s="1">
        <v>-0.85618390697220403</v>
      </c>
      <c r="E100" s="1">
        <v>-0.181487970659065</v>
      </c>
    </row>
    <row r="101" spans="1:5" x14ac:dyDescent="0.35">
      <c r="A101">
        <v>20241031</v>
      </c>
      <c r="B101" s="2">
        <f t="shared" si="1"/>
        <v>45596</v>
      </c>
      <c r="C101">
        <f>M1_YOY_M!C101-M2_YOY_M!C101</f>
        <v>-9.8000000000000007</v>
      </c>
      <c r="D101" s="1">
        <v>-0.442847722630203</v>
      </c>
      <c r="E101" s="1">
        <v>0.30702264261419299</v>
      </c>
    </row>
    <row r="102" spans="1:5" x14ac:dyDescent="0.35">
      <c r="A102">
        <v>20241130</v>
      </c>
      <c r="B102" s="2">
        <f t="shared" si="1"/>
        <v>45626</v>
      </c>
      <c r="C102">
        <f>M1_YOY_M!C102-M2_YOY_M!C102</f>
        <v>-7.8</v>
      </c>
      <c r="D102" s="1">
        <v>0.94186790205050297</v>
      </c>
      <c r="E102" s="1">
        <v>0.97767757711792302</v>
      </c>
    </row>
    <row r="103" spans="1:5" x14ac:dyDescent="0.35">
      <c r="A103">
        <v>20241231</v>
      </c>
      <c r="B103" s="2">
        <f t="shared" si="1"/>
        <v>45657</v>
      </c>
      <c r="C103">
        <f>M1_YOY_M!C103-M2_YOY_M!C103</f>
        <v>-6.1</v>
      </c>
      <c r="D103" s="1">
        <v>1.8993654589590201</v>
      </c>
      <c r="E103" s="1">
        <v>0.68441788230108003</v>
      </c>
    </row>
    <row r="104" spans="1:5" x14ac:dyDescent="0.35">
      <c r="A104">
        <v>20250131</v>
      </c>
      <c r="B104" s="2">
        <f t="shared" si="1"/>
        <v>45688</v>
      </c>
      <c r="C104">
        <f>M1_YOY_M!C104-M2_YOY_M!C104</f>
        <v>-6.6</v>
      </c>
      <c r="D104" s="1">
        <v>1.25092603513783</v>
      </c>
      <c r="E104" s="1">
        <v>-0.34890990395919402</v>
      </c>
    </row>
    <row r="105" spans="1:5" x14ac:dyDescent="0.35">
      <c r="A105">
        <v>20250228</v>
      </c>
      <c r="B105" s="2">
        <f t="shared" si="1"/>
        <v>45716</v>
      </c>
      <c r="C105">
        <f>M1_YOY_M!C105-M2_YOY_M!C105</f>
        <v>-6.9</v>
      </c>
      <c r="D105" s="1">
        <v>1.10576682869555</v>
      </c>
      <c r="E105" s="1">
        <v>-0.1635067449548</v>
      </c>
    </row>
    <row r="106" spans="1:5" x14ac:dyDescent="0.35">
      <c r="A106">
        <v>20250331</v>
      </c>
      <c r="B106" s="2">
        <f t="shared" si="1"/>
        <v>45747</v>
      </c>
      <c r="C106">
        <f>M1_YOY_M!C106-M2_YOY_M!C106</f>
        <v>-5.4</v>
      </c>
      <c r="D106" s="1">
        <v>2.23687899578379</v>
      </c>
      <c r="E106" s="1">
        <v>0.745490381510865</v>
      </c>
    </row>
    <row r="107" spans="1:5" x14ac:dyDescent="0.35">
      <c r="A107">
        <v>20250430</v>
      </c>
      <c r="B107" s="2">
        <f t="shared" si="1"/>
        <v>45777</v>
      </c>
      <c r="C107">
        <f>M1_YOY_M!C107-M2_YOY_M!C107</f>
        <v>-6.5</v>
      </c>
      <c r="D107" s="1">
        <v>0.92482967220786405</v>
      </c>
      <c r="E107" s="1">
        <v>-0.83467208049512998</v>
      </c>
    </row>
    <row r="108" spans="1:5" x14ac:dyDescent="0.35">
      <c r="A108">
        <v>20250531</v>
      </c>
      <c r="B108" s="2">
        <f t="shared" si="1"/>
        <v>45808</v>
      </c>
      <c r="C108">
        <f>M1_YOY_M!C108-M2_YOY_M!C108</f>
        <v>-5.6000000000000005</v>
      </c>
      <c r="D108" s="1">
        <v>1.4928345150515501</v>
      </c>
      <c r="E108" s="1">
        <v>0.423433472201804</v>
      </c>
    </row>
    <row r="109" spans="1:5" x14ac:dyDescent="0.35">
      <c r="A109">
        <v>20250630</v>
      </c>
      <c r="B109" s="2">
        <f t="shared" si="1"/>
        <v>45838</v>
      </c>
      <c r="C109">
        <f>M1_YOY_M!C109-M2_YOY_M!C109</f>
        <v>-3.7000000000000011</v>
      </c>
      <c r="D109" s="1">
        <v>2.6580972394811302</v>
      </c>
      <c r="E109" s="1">
        <v>0.896989971580196</v>
      </c>
    </row>
    <row r="110" spans="1:5" x14ac:dyDescent="0.35">
      <c r="A110">
        <v>20250731</v>
      </c>
      <c r="B110" s="2">
        <f t="shared" si="1"/>
        <v>45869</v>
      </c>
      <c r="C110">
        <f>M1_YOY_M!C110-M2_YOY_M!C110</f>
        <v>-3.2000000000000011</v>
      </c>
      <c r="D110" s="1">
        <v>2.3661268096258699</v>
      </c>
      <c r="E110" s="1">
        <v>-4.7294387777457897E-2</v>
      </c>
    </row>
    <row r="111" spans="1:5" x14ac:dyDescent="0.35">
      <c r="A111">
        <v>20250831</v>
      </c>
      <c r="B111" s="2">
        <f t="shared" si="1"/>
        <v>45900</v>
      </c>
      <c r="C111">
        <f>M1_YOY_M!C111-M2_YOY_M!C111</f>
        <v>-2.8000000000000007</v>
      </c>
      <c r="D111" s="1">
        <v>2.08287411900689</v>
      </c>
      <c r="E111" s="1">
        <v>-0.104202304221487</v>
      </c>
    </row>
    <row r="112" spans="1:5" x14ac:dyDescent="0.35">
      <c r="A112">
        <v>20250930</v>
      </c>
      <c r="B112" s="2">
        <f t="shared" si="1"/>
        <v>45930</v>
      </c>
      <c r="C112">
        <f>M1_YOY_M!C112-M2_YOY_M!C112</f>
        <v>-1.2000000000000002</v>
      </c>
      <c r="D112" s="1">
        <v>2.5906021708839901</v>
      </c>
      <c r="E112" s="1">
        <v>0.56088370260919496</v>
      </c>
    </row>
    <row r="113" spans="1:5" x14ac:dyDescent="0.35">
      <c r="A113">
        <v>20251031</v>
      </c>
      <c r="B113" s="2">
        <f t="shared" si="1"/>
        <v>45961</v>
      </c>
      <c r="C113">
        <f>M1_YOY_M!C113-M2_YOY_M!C113</f>
        <v>-1.9999999999999991</v>
      </c>
      <c r="D113" s="1">
        <v>1.4947836689260401</v>
      </c>
      <c r="E113" s="1">
        <v>-0.86957595468845394</v>
      </c>
    </row>
    <row r="114" spans="1:5" x14ac:dyDescent="0.35">
      <c r="A114">
        <v>20251130</v>
      </c>
      <c r="B114" s="2">
        <f t="shared" si="1"/>
        <v>45991</v>
      </c>
      <c r="C114">
        <f>M1_YOY_M!C114-M2_YOY_M!C114</f>
        <v>-3.0999999999999996</v>
      </c>
      <c r="D114" s="1">
        <v>0.56947955831887698</v>
      </c>
      <c r="E114" s="1">
        <v>-0.90263761590970404</v>
      </c>
    </row>
    <row r="115" spans="1:5" x14ac:dyDescent="0.35">
      <c r="A115">
        <v>20251231</v>
      </c>
      <c r="B115" s="2">
        <f t="shared" si="1"/>
        <v>46022</v>
      </c>
      <c r="C115">
        <f>M1_YOY_M!C115-M2_YOY_M!C115</f>
        <v>-4.7</v>
      </c>
      <c r="D115" s="1">
        <v>-0.47233033468379898</v>
      </c>
      <c r="E115" s="1">
        <v>-1.0135189046305</v>
      </c>
    </row>
    <row r="116" spans="1:5" x14ac:dyDescent="0.35">
      <c r="A116">
        <v>20260131</v>
      </c>
      <c r="B116" s="2">
        <f t="shared" si="1"/>
        <v>46053</v>
      </c>
      <c r="C116">
        <f>M1_YOY_M!C116-M2_YOY_M!C116</f>
        <v>-4.0999999999999996</v>
      </c>
      <c r="D116" s="1">
        <v>-0.120727295568029</v>
      </c>
      <c r="E116" s="1">
        <v>0.35224484511105197</v>
      </c>
    </row>
    <row r="117" spans="1:5" x14ac:dyDescent="0.35">
      <c r="A117">
        <v>20260228</v>
      </c>
      <c r="B117" s="2">
        <f t="shared" si="1"/>
        <v>46081</v>
      </c>
      <c r="C117">
        <f>M1_YOY_M!C117-M2_YOY_M!C117</f>
        <v>-3.0999999999999996</v>
      </c>
      <c r="D117" s="1">
        <v>0.44127816943781101</v>
      </c>
      <c r="E117" s="1">
        <v>0.494993724978052</v>
      </c>
    </row>
    <row r="118" spans="1:5" x14ac:dyDescent="0.35">
      <c r="A118">
        <v>20260331</v>
      </c>
      <c r="B118" s="2">
        <f t="shared" si="1"/>
        <v>46112</v>
      </c>
      <c r="C118">
        <f>M1_YOY_M!C118-M2_YOY_M!C118</f>
        <v>-3.4000000000000004</v>
      </c>
      <c r="D118" s="1">
        <v>0.13894109350762299</v>
      </c>
      <c r="E118" s="1">
        <v>-0.43312199971544602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4C11-386A-4043-8306-B965032C9386}">
  <dimension ref="A1:F139"/>
  <sheetViews>
    <sheetView workbookViewId="0">
      <selection activeCell="G1" sqref="G1:G1048576"/>
    </sheetView>
  </sheetViews>
  <sheetFormatPr defaultRowHeight="14.15" x14ac:dyDescent="0.35"/>
  <cols>
    <col min="1" max="1" width="10.640625" bestFit="1" customWidth="1"/>
    <col min="2" max="2" width="12.42578125" bestFit="1" customWidth="1"/>
    <col min="3" max="3" width="18.85546875" bestFit="1" customWidth="1"/>
    <col min="4" max="4" width="32.2109375" bestFit="1" customWidth="1"/>
    <col min="5" max="5" width="22.92578125" bestFit="1" customWidth="1"/>
  </cols>
  <sheetData>
    <row r="1" spans="1:6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6" x14ac:dyDescent="0.35">
      <c r="A3" s="2">
        <v>42004</v>
      </c>
      <c r="B3">
        <v>1008.5</v>
      </c>
      <c r="C3">
        <v>6.1189999999999998</v>
      </c>
      <c r="D3">
        <v>5.0728</v>
      </c>
      <c r="E3">
        <v>3.6219000000000001</v>
      </c>
      <c r="F3">
        <v>90.27</v>
      </c>
    </row>
    <row r="4" spans="1:6" x14ac:dyDescent="0.35">
      <c r="A4" s="2">
        <v>42034</v>
      </c>
      <c r="B4">
        <v>968.25</v>
      </c>
      <c r="C4">
        <v>6.1369999999999996</v>
      </c>
      <c r="D4">
        <v>4.3437999999999999</v>
      </c>
      <c r="E4">
        <v>3.5019</v>
      </c>
      <c r="F4">
        <v>94.873699999999999</v>
      </c>
    </row>
    <row r="5" spans="1:6" x14ac:dyDescent="0.35">
      <c r="A5" s="2">
        <v>42063</v>
      </c>
      <c r="B5">
        <v>1005.59</v>
      </c>
      <c r="C5">
        <v>6.1475</v>
      </c>
      <c r="D5">
        <v>4.8376000000000001</v>
      </c>
      <c r="E5">
        <v>3.3601999999999999</v>
      </c>
      <c r="F5">
        <v>95.25</v>
      </c>
    </row>
    <row r="6" spans="1:6" x14ac:dyDescent="0.35">
      <c r="A6" s="2">
        <v>42094</v>
      </c>
      <c r="B6">
        <v>973.41</v>
      </c>
      <c r="C6">
        <v>6.1421999999999999</v>
      </c>
      <c r="D6">
        <v>3.9763999999999999</v>
      </c>
      <c r="E6">
        <v>3.6482999999999999</v>
      </c>
      <c r="F6">
        <v>98.411699999999996</v>
      </c>
    </row>
    <row r="7" spans="1:6" x14ac:dyDescent="0.35">
      <c r="A7" s="2">
        <v>42124</v>
      </c>
      <c r="B7">
        <v>1008.69</v>
      </c>
      <c r="C7">
        <v>6.1136999999999997</v>
      </c>
      <c r="D7">
        <v>2.4201999999999999</v>
      </c>
      <c r="E7">
        <v>3.3502999999999998</v>
      </c>
      <c r="F7">
        <v>94.831299999999999</v>
      </c>
    </row>
    <row r="8" spans="1:6" x14ac:dyDescent="0.35">
      <c r="A8" s="2">
        <v>42153</v>
      </c>
      <c r="B8">
        <v>1001.85</v>
      </c>
      <c r="C8">
        <v>6.1196000000000002</v>
      </c>
      <c r="D8">
        <v>1.9865999999999999</v>
      </c>
      <c r="E8">
        <v>3.5954000000000002</v>
      </c>
      <c r="F8">
        <v>96.86</v>
      </c>
    </row>
    <row r="9" spans="1:6" x14ac:dyDescent="0.35">
      <c r="A9" s="2">
        <v>42185</v>
      </c>
      <c r="B9">
        <v>950.07</v>
      </c>
      <c r="C9">
        <v>6.1135999999999999</v>
      </c>
      <c r="D9">
        <v>2.8062</v>
      </c>
      <c r="E9">
        <v>3.5975999999999999</v>
      </c>
      <c r="F9">
        <v>95.501599999999996</v>
      </c>
    </row>
    <row r="10" spans="1:6" x14ac:dyDescent="0.35">
      <c r="A10" s="2">
        <v>42216</v>
      </c>
      <c r="B10">
        <v>901.52</v>
      </c>
      <c r="C10">
        <v>6.1172000000000004</v>
      </c>
      <c r="D10">
        <v>2.4750999999999999</v>
      </c>
      <c r="E10">
        <v>3.4752000000000001</v>
      </c>
      <c r="F10">
        <v>97.227599999999995</v>
      </c>
    </row>
    <row r="11" spans="1:6" x14ac:dyDescent="0.35">
      <c r="A11" s="2">
        <v>42247</v>
      </c>
      <c r="B11">
        <v>886.91</v>
      </c>
      <c r="C11">
        <v>6.3893000000000004</v>
      </c>
      <c r="D11">
        <v>2.4977999999999998</v>
      </c>
      <c r="E11">
        <v>3.3252000000000002</v>
      </c>
      <c r="F11">
        <v>95.988500000000002</v>
      </c>
    </row>
    <row r="12" spans="1:6" x14ac:dyDescent="0.35">
      <c r="A12" s="2">
        <v>42277</v>
      </c>
      <c r="B12">
        <v>870.64</v>
      </c>
      <c r="C12">
        <v>6.3613</v>
      </c>
      <c r="D12">
        <v>2.3925000000000001</v>
      </c>
      <c r="E12">
        <v>3.2362000000000002</v>
      </c>
      <c r="F12">
        <v>96.269199999999998</v>
      </c>
    </row>
    <row r="13" spans="1:6" x14ac:dyDescent="0.35">
      <c r="A13" s="2">
        <v>42307</v>
      </c>
      <c r="B13">
        <v>861.5</v>
      </c>
      <c r="C13">
        <v>6.3494999999999999</v>
      </c>
      <c r="D13">
        <v>2.3820999999999999</v>
      </c>
      <c r="E13">
        <v>3.06</v>
      </c>
      <c r="F13">
        <v>96.896100000000004</v>
      </c>
    </row>
    <row r="14" spans="1:6" x14ac:dyDescent="0.35">
      <c r="A14" s="2">
        <v>42338</v>
      </c>
      <c r="B14">
        <v>821.47</v>
      </c>
      <c r="C14">
        <v>6.3962000000000003</v>
      </c>
      <c r="D14">
        <v>2.4129</v>
      </c>
      <c r="E14">
        <v>3.0404</v>
      </c>
      <c r="F14">
        <v>100.2351</v>
      </c>
    </row>
    <row r="15" spans="1:6" x14ac:dyDescent="0.35">
      <c r="A15" s="2">
        <v>42369</v>
      </c>
      <c r="B15">
        <v>862.03</v>
      </c>
      <c r="C15">
        <v>6.4935999999999998</v>
      </c>
      <c r="D15">
        <v>2.3896999999999999</v>
      </c>
      <c r="E15">
        <v>2.8212000000000002</v>
      </c>
      <c r="F15">
        <v>98.704400000000007</v>
      </c>
    </row>
    <row r="16" spans="1:6" x14ac:dyDescent="0.35">
      <c r="A16" s="2">
        <v>42398</v>
      </c>
      <c r="B16">
        <v>857.56</v>
      </c>
      <c r="C16">
        <v>6.5515999999999996</v>
      </c>
      <c r="D16">
        <v>2.4203000000000001</v>
      </c>
      <c r="E16">
        <v>2.8418999999999999</v>
      </c>
      <c r="F16">
        <v>99.555800000000005</v>
      </c>
    </row>
    <row r="17" spans="1:6" x14ac:dyDescent="0.35">
      <c r="A17" s="2">
        <v>42429</v>
      </c>
      <c r="B17">
        <v>890.15</v>
      </c>
      <c r="C17">
        <v>6.5452000000000004</v>
      </c>
      <c r="D17">
        <v>2.5830000000000002</v>
      </c>
      <c r="E17">
        <v>2.8502000000000001</v>
      </c>
      <c r="F17">
        <v>98.261600000000001</v>
      </c>
    </row>
    <row r="18" spans="1:6" x14ac:dyDescent="0.35">
      <c r="A18" s="2">
        <v>42460</v>
      </c>
      <c r="B18">
        <v>939.03</v>
      </c>
      <c r="C18">
        <v>6.4611999999999998</v>
      </c>
      <c r="D18">
        <v>2.8519000000000001</v>
      </c>
      <c r="E18">
        <v>2.8418999999999999</v>
      </c>
      <c r="F18">
        <v>94.628100000000003</v>
      </c>
    </row>
    <row r="19" spans="1:6" x14ac:dyDescent="0.35">
      <c r="A19" s="2">
        <v>42489</v>
      </c>
      <c r="B19">
        <v>1054.23</v>
      </c>
      <c r="C19">
        <v>6.4588999999999999</v>
      </c>
      <c r="D19">
        <v>2.5158</v>
      </c>
      <c r="E19">
        <v>2.8913000000000002</v>
      </c>
      <c r="F19">
        <v>93.048199999999994</v>
      </c>
    </row>
    <row r="20" spans="1:6" x14ac:dyDescent="0.35">
      <c r="A20" s="2">
        <v>42521</v>
      </c>
      <c r="B20">
        <v>954.7</v>
      </c>
      <c r="C20">
        <v>6.5789999999999997</v>
      </c>
      <c r="D20">
        <v>2.4014000000000002</v>
      </c>
      <c r="E20">
        <v>2.9851000000000001</v>
      </c>
      <c r="F20">
        <v>95.841200000000001</v>
      </c>
    </row>
    <row r="21" spans="1:6" x14ac:dyDescent="0.35">
      <c r="A21" s="2">
        <v>42551</v>
      </c>
      <c r="B21">
        <v>1074.3693000000001</v>
      </c>
      <c r="C21">
        <v>6.6311999999999998</v>
      </c>
      <c r="D21">
        <v>2.718</v>
      </c>
      <c r="E21">
        <v>2.8411</v>
      </c>
      <c r="F21">
        <v>95.952600000000004</v>
      </c>
    </row>
    <row r="22" spans="1:6" x14ac:dyDescent="0.35">
      <c r="A22" s="2">
        <v>42580</v>
      </c>
      <c r="B22">
        <v>1079.3399999999999</v>
      </c>
      <c r="C22">
        <v>6.6510999999999996</v>
      </c>
      <c r="D22">
        <v>2.4868999999999999</v>
      </c>
      <c r="E22">
        <v>2.7768000000000002</v>
      </c>
      <c r="F22">
        <v>95.553399999999996</v>
      </c>
    </row>
    <row r="23" spans="1:6" x14ac:dyDescent="0.35">
      <c r="A23" s="2">
        <v>42613</v>
      </c>
      <c r="B23">
        <v>1074.25</v>
      </c>
      <c r="C23">
        <v>6.6908000000000003</v>
      </c>
      <c r="D23">
        <v>2.3948999999999998</v>
      </c>
      <c r="E23">
        <v>2.7425000000000002</v>
      </c>
      <c r="F23">
        <v>95.986800000000002</v>
      </c>
    </row>
    <row r="24" spans="1:6" x14ac:dyDescent="0.35">
      <c r="A24" s="2">
        <v>42643</v>
      </c>
      <c r="B24">
        <v>1103.1300000000001</v>
      </c>
      <c r="C24">
        <v>6.6778000000000004</v>
      </c>
      <c r="D24">
        <v>2.5777999999999999</v>
      </c>
      <c r="E24">
        <v>2.7258</v>
      </c>
      <c r="F24">
        <v>95.442599999999999</v>
      </c>
    </row>
    <row r="25" spans="1:6" x14ac:dyDescent="0.35">
      <c r="A25" s="2">
        <v>42674</v>
      </c>
      <c r="B25">
        <v>1214.0899999999999</v>
      </c>
      <c r="C25">
        <v>6.7641</v>
      </c>
      <c r="D25">
        <v>3.0659000000000001</v>
      </c>
      <c r="E25">
        <v>2.7425000000000002</v>
      </c>
      <c r="F25">
        <v>98.351699999999994</v>
      </c>
    </row>
    <row r="26" spans="1:6" x14ac:dyDescent="0.35">
      <c r="A26" s="2">
        <v>42704</v>
      </c>
      <c r="B26">
        <v>1322.69</v>
      </c>
      <c r="C26">
        <v>6.8864999999999998</v>
      </c>
      <c r="D26">
        <v>3.4916</v>
      </c>
      <c r="E26">
        <v>2.9502000000000002</v>
      </c>
      <c r="F26">
        <v>101.5732</v>
      </c>
    </row>
    <row r="27" spans="1:6" x14ac:dyDescent="0.35">
      <c r="A27" s="2">
        <v>42735</v>
      </c>
      <c r="B27">
        <v>1304.58</v>
      </c>
      <c r="C27">
        <v>6.9370000000000003</v>
      </c>
      <c r="D27">
        <v>2.7124999999999999</v>
      </c>
      <c r="E27">
        <v>3.0114999999999998</v>
      </c>
      <c r="F27">
        <v>102.3837</v>
      </c>
    </row>
    <row r="28" spans="1:6" x14ac:dyDescent="0.35">
      <c r="A28" s="2">
        <v>42761</v>
      </c>
      <c r="B28">
        <v>1406.75</v>
      </c>
      <c r="C28">
        <v>6.8587999999999996</v>
      </c>
      <c r="D28">
        <v>2.6522999999999999</v>
      </c>
      <c r="E28">
        <v>3.3464999999999998</v>
      </c>
      <c r="F28">
        <v>100.5069</v>
      </c>
    </row>
    <row r="29" spans="1:6" x14ac:dyDescent="0.35">
      <c r="A29" s="2">
        <v>42794</v>
      </c>
      <c r="B29">
        <v>1390.41</v>
      </c>
      <c r="C29">
        <v>6.875</v>
      </c>
      <c r="D29">
        <v>3.7195</v>
      </c>
      <c r="E29">
        <v>3.2921</v>
      </c>
      <c r="F29">
        <v>101.3437</v>
      </c>
    </row>
    <row r="30" spans="1:6" x14ac:dyDescent="0.35">
      <c r="A30" s="2">
        <v>42825</v>
      </c>
      <c r="B30">
        <v>1332.49</v>
      </c>
      <c r="C30">
        <v>6.8993000000000002</v>
      </c>
      <c r="D30">
        <v>4.5801999999999996</v>
      </c>
      <c r="E30">
        <v>3.2827999999999999</v>
      </c>
      <c r="F30">
        <v>100.54510000000001</v>
      </c>
    </row>
    <row r="31" spans="1:6" x14ac:dyDescent="0.35">
      <c r="A31" s="2">
        <v>42853</v>
      </c>
      <c r="B31">
        <v>1294.1400000000001</v>
      </c>
      <c r="C31">
        <v>6.8930999999999996</v>
      </c>
      <c r="D31">
        <v>4.1818</v>
      </c>
      <c r="E31">
        <v>3.4668000000000001</v>
      </c>
      <c r="F31">
        <v>99.036799999999999</v>
      </c>
    </row>
    <row r="32" spans="1:6" x14ac:dyDescent="0.35">
      <c r="A32" s="2">
        <v>42886</v>
      </c>
      <c r="B32">
        <v>1223.3900000000001</v>
      </c>
      <c r="C32">
        <v>6.8632999999999997</v>
      </c>
      <c r="D32">
        <v>3.1229</v>
      </c>
      <c r="E32">
        <v>3.6101999999999999</v>
      </c>
      <c r="F32">
        <v>96.967200000000005</v>
      </c>
    </row>
    <row r="33" spans="1:6" x14ac:dyDescent="0.35">
      <c r="A33" s="2">
        <v>42916</v>
      </c>
      <c r="B33">
        <v>1294.04</v>
      </c>
      <c r="C33">
        <v>6.7744</v>
      </c>
      <c r="D33">
        <v>3.9681999999999999</v>
      </c>
      <c r="E33">
        <v>3.5682999999999998</v>
      </c>
      <c r="F33">
        <v>95.630899999999997</v>
      </c>
    </row>
    <row r="34" spans="1:6" x14ac:dyDescent="0.35">
      <c r="A34" s="2">
        <v>42947</v>
      </c>
      <c r="B34">
        <v>1385.33</v>
      </c>
      <c r="C34">
        <v>6.7282999999999999</v>
      </c>
      <c r="D34">
        <v>3.7452000000000001</v>
      </c>
      <c r="E34">
        <v>3.6259999999999999</v>
      </c>
      <c r="F34">
        <v>92.809100000000001</v>
      </c>
    </row>
    <row r="35" spans="1:6" x14ac:dyDescent="0.35">
      <c r="A35" s="2">
        <v>42978</v>
      </c>
      <c r="B35">
        <v>1458.05</v>
      </c>
      <c r="C35">
        <v>6.601</v>
      </c>
      <c r="D35">
        <v>4.0732999999999997</v>
      </c>
      <c r="E35">
        <v>3.6265000000000001</v>
      </c>
      <c r="F35">
        <v>92.624300000000005</v>
      </c>
    </row>
    <row r="36" spans="1:6" x14ac:dyDescent="0.35">
      <c r="A36" s="2">
        <v>43008</v>
      </c>
      <c r="B36">
        <v>1347.75</v>
      </c>
      <c r="C36">
        <v>6.6368999999999998</v>
      </c>
      <c r="D36">
        <v>3.2042000000000002</v>
      </c>
      <c r="E36">
        <v>3.6135999999999999</v>
      </c>
      <c r="F36">
        <v>93.071100000000001</v>
      </c>
    </row>
    <row r="37" spans="1:6" x14ac:dyDescent="0.35">
      <c r="A37" s="2">
        <v>43039</v>
      </c>
      <c r="B37">
        <v>1334.1</v>
      </c>
      <c r="C37">
        <v>6.6397000000000004</v>
      </c>
      <c r="D37">
        <v>3.9304000000000001</v>
      </c>
      <c r="E37">
        <v>3.8917000000000002</v>
      </c>
      <c r="F37">
        <v>94.567400000000006</v>
      </c>
    </row>
    <row r="38" spans="1:6" x14ac:dyDescent="0.35">
      <c r="A38" s="2">
        <v>43069</v>
      </c>
      <c r="B38">
        <v>1410.97</v>
      </c>
      <c r="C38">
        <v>6.6033999999999997</v>
      </c>
      <c r="D38">
        <v>3.6793999999999998</v>
      </c>
      <c r="E38">
        <v>3.8900999999999999</v>
      </c>
      <c r="F38">
        <v>93.013900000000007</v>
      </c>
    </row>
    <row r="39" spans="1:6" x14ac:dyDescent="0.35">
      <c r="A39" s="2">
        <v>43100</v>
      </c>
      <c r="B39">
        <v>1407.05</v>
      </c>
      <c r="C39">
        <v>6.5342000000000002</v>
      </c>
      <c r="D39">
        <v>5.4198000000000004</v>
      </c>
      <c r="E39">
        <v>3.8807</v>
      </c>
      <c r="F39">
        <v>92.257400000000004</v>
      </c>
    </row>
    <row r="40" spans="1:6" x14ac:dyDescent="0.35">
      <c r="A40" s="2">
        <v>43131</v>
      </c>
      <c r="B40">
        <v>1402.74</v>
      </c>
      <c r="C40">
        <v>6.3338999999999999</v>
      </c>
      <c r="D40">
        <v>3.1852</v>
      </c>
      <c r="E40">
        <v>3.9140000000000001</v>
      </c>
      <c r="F40">
        <v>89.120099999999994</v>
      </c>
    </row>
    <row r="41" spans="1:6" x14ac:dyDescent="0.35">
      <c r="A41" s="2">
        <v>43159</v>
      </c>
      <c r="B41">
        <v>1432.39</v>
      </c>
      <c r="C41">
        <v>6.3293999999999997</v>
      </c>
      <c r="D41">
        <v>3.5106000000000002</v>
      </c>
      <c r="E41">
        <v>3.8201999999999998</v>
      </c>
      <c r="F41">
        <v>90.669300000000007</v>
      </c>
    </row>
    <row r="42" spans="1:6" x14ac:dyDescent="0.35">
      <c r="A42" s="2">
        <v>43189</v>
      </c>
      <c r="B42">
        <v>1328.01</v>
      </c>
      <c r="C42">
        <v>6.2881</v>
      </c>
      <c r="D42">
        <v>4.1910999999999996</v>
      </c>
      <c r="E42">
        <v>3.7406999999999999</v>
      </c>
      <c r="F42">
        <v>89.982900000000001</v>
      </c>
    </row>
    <row r="43" spans="1:6" x14ac:dyDescent="0.35">
      <c r="A43" s="2">
        <v>43218</v>
      </c>
      <c r="B43">
        <v>1355.3</v>
      </c>
      <c r="C43">
        <v>6.3392999999999997</v>
      </c>
      <c r="D43">
        <v>3.0495999999999999</v>
      </c>
      <c r="E43">
        <v>3.6217000000000001</v>
      </c>
      <c r="F43">
        <v>91.510999999999996</v>
      </c>
    </row>
    <row r="44" spans="1:6" x14ac:dyDescent="0.35">
      <c r="A44" s="2">
        <v>43251</v>
      </c>
      <c r="B44">
        <v>1385.52</v>
      </c>
      <c r="C44">
        <v>6.4143999999999997</v>
      </c>
      <c r="D44">
        <v>3.9655</v>
      </c>
      <c r="E44">
        <v>3.6128999999999998</v>
      </c>
      <c r="F44">
        <v>93.985900000000001</v>
      </c>
    </row>
    <row r="45" spans="1:6" x14ac:dyDescent="0.35">
      <c r="A45" s="2">
        <v>43280</v>
      </c>
      <c r="B45">
        <v>1385.87</v>
      </c>
      <c r="C45">
        <v>6.6166</v>
      </c>
      <c r="D45">
        <v>3.5842999999999998</v>
      </c>
      <c r="E45">
        <v>3.4756</v>
      </c>
      <c r="F45">
        <v>94.518299999999996</v>
      </c>
    </row>
    <row r="46" spans="1:6" x14ac:dyDescent="0.35">
      <c r="A46" s="2">
        <v>43312</v>
      </c>
      <c r="B46">
        <v>1408.34</v>
      </c>
      <c r="C46">
        <v>6.8164999999999996</v>
      </c>
      <c r="D46">
        <v>2.7496999999999998</v>
      </c>
      <c r="E46">
        <v>3.4811999999999999</v>
      </c>
      <c r="F46">
        <v>94.537199999999999</v>
      </c>
    </row>
    <row r="47" spans="1:6" x14ac:dyDescent="0.35">
      <c r="A47" s="2">
        <v>43343</v>
      </c>
      <c r="B47">
        <v>1426.02</v>
      </c>
      <c r="C47">
        <v>6.8246000000000002</v>
      </c>
      <c r="D47">
        <v>2.6339000000000001</v>
      </c>
      <c r="E47">
        <v>3.5750999999999999</v>
      </c>
      <c r="F47">
        <v>95.121300000000005</v>
      </c>
    </row>
    <row r="48" spans="1:6" x14ac:dyDescent="0.35">
      <c r="A48" s="2">
        <v>43373</v>
      </c>
      <c r="B48">
        <v>1433.16</v>
      </c>
      <c r="C48">
        <v>6.8792</v>
      </c>
      <c r="D48">
        <v>3.0082</v>
      </c>
      <c r="E48">
        <v>3.6103000000000001</v>
      </c>
      <c r="F48">
        <v>95.190399999999997</v>
      </c>
    </row>
    <row r="49" spans="1:6" x14ac:dyDescent="0.35">
      <c r="A49" s="2">
        <v>43404</v>
      </c>
      <c r="B49">
        <v>1433.02</v>
      </c>
      <c r="C49">
        <v>6.9645999999999999</v>
      </c>
      <c r="D49">
        <v>2.8997999999999999</v>
      </c>
      <c r="E49">
        <v>3.5085999999999999</v>
      </c>
      <c r="F49">
        <v>97.130099999999999</v>
      </c>
    </row>
    <row r="50" spans="1:6" x14ac:dyDescent="0.35">
      <c r="A50" s="2">
        <v>43434</v>
      </c>
      <c r="B50">
        <v>1317.23</v>
      </c>
      <c r="C50">
        <v>6.9356999999999998</v>
      </c>
      <c r="D50">
        <v>2.9098000000000002</v>
      </c>
      <c r="E50">
        <v>3.355</v>
      </c>
      <c r="F50">
        <v>97.199700000000007</v>
      </c>
    </row>
    <row r="51" spans="1:6" x14ac:dyDescent="0.35">
      <c r="A51" s="2">
        <v>43465</v>
      </c>
      <c r="B51">
        <v>1325.01</v>
      </c>
      <c r="C51">
        <v>6.8632</v>
      </c>
      <c r="D51">
        <v>3.1362000000000001</v>
      </c>
      <c r="E51">
        <v>3.2265000000000001</v>
      </c>
      <c r="F51">
        <v>96.074100000000001</v>
      </c>
    </row>
    <row r="52" spans="1:6" x14ac:dyDescent="0.35">
      <c r="A52" s="2">
        <v>43496</v>
      </c>
      <c r="B52">
        <v>1415.34</v>
      </c>
      <c r="C52">
        <v>6.7024999999999997</v>
      </c>
      <c r="D52">
        <v>2.9137</v>
      </c>
      <c r="E52">
        <v>3.1036999999999999</v>
      </c>
      <c r="F52">
        <v>95.553299999999993</v>
      </c>
    </row>
    <row r="53" spans="1:6" x14ac:dyDescent="0.35">
      <c r="A53" s="2">
        <v>43524</v>
      </c>
      <c r="B53">
        <v>1437.06</v>
      </c>
      <c r="C53">
        <v>6.6901000000000002</v>
      </c>
      <c r="D53">
        <v>2.7923</v>
      </c>
      <c r="E53">
        <v>3.1730999999999998</v>
      </c>
      <c r="F53">
        <v>96.221800000000002</v>
      </c>
    </row>
    <row r="54" spans="1:6" x14ac:dyDescent="0.35">
      <c r="A54" s="2">
        <v>43553</v>
      </c>
      <c r="B54">
        <v>1414.95</v>
      </c>
      <c r="C54">
        <v>6.7335000000000003</v>
      </c>
      <c r="D54">
        <v>3.2050999999999998</v>
      </c>
      <c r="E54">
        <v>3.0682999999999998</v>
      </c>
      <c r="F54">
        <v>97.245599999999996</v>
      </c>
    </row>
    <row r="55" spans="1:6" x14ac:dyDescent="0.35">
      <c r="A55" s="2">
        <v>43585</v>
      </c>
      <c r="B55">
        <v>1454.9</v>
      </c>
      <c r="C55">
        <v>6.7286000000000001</v>
      </c>
      <c r="D55">
        <v>2.7403</v>
      </c>
      <c r="E55">
        <v>3.3868999999999998</v>
      </c>
      <c r="F55">
        <v>97.523499999999999</v>
      </c>
    </row>
    <row r="56" spans="1:6" x14ac:dyDescent="0.35">
      <c r="A56" s="2">
        <v>43616</v>
      </c>
      <c r="B56">
        <v>1454.27</v>
      </c>
      <c r="C56">
        <v>6.8992000000000004</v>
      </c>
      <c r="D56">
        <v>2.5884999999999998</v>
      </c>
      <c r="E56">
        <v>3.2751000000000001</v>
      </c>
      <c r="F56">
        <v>97.774000000000001</v>
      </c>
    </row>
    <row r="57" spans="1:6" x14ac:dyDescent="0.35">
      <c r="A57" s="2">
        <v>43644</v>
      </c>
      <c r="B57">
        <v>1485.46</v>
      </c>
      <c r="C57">
        <v>6.8746999999999998</v>
      </c>
      <c r="D57">
        <v>2.6602999999999999</v>
      </c>
      <c r="E57">
        <v>3.2254</v>
      </c>
      <c r="F57">
        <v>96.192999999999998</v>
      </c>
    </row>
    <row r="58" spans="1:6" x14ac:dyDescent="0.35">
      <c r="A58" s="2">
        <v>43677</v>
      </c>
      <c r="B58">
        <v>1493.66</v>
      </c>
      <c r="C58">
        <v>6.8841000000000001</v>
      </c>
      <c r="D58">
        <v>2.7875000000000001</v>
      </c>
      <c r="E58">
        <v>3.1551999999999998</v>
      </c>
      <c r="F58">
        <v>98.566699999999997</v>
      </c>
    </row>
    <row r="59" spans="1:6" x14ac:dyDescent="0.35">
      <c r="A59" s="2">
        <v>43707</v>
      </c>
      <c r="B59">
        <v>1461.12</v>
      </c>
      <c r="C59">
        <v>7.0879000000000003</v>
      </c>
      <c r="D59">
        <v>2.8098000000000001</v>
      </c>
      <c r="E59">
        <v>3.0573000000000001</v>
      </c>
      <c r="F59">
        <v>98.836600000000004</v>
      </c>
    </row>
    <row r="60" spans="1:6" x14ac:dyDescent="0.35">
      <c r="A60" s="2">
        <v>43738</v>
      </c>
      <c r="B60">
        <v>1470.27</v>
      </c>
      <c r="C60">
        <v>7.0728999999999997</v>
      </c>
      <c r="D60">
        <v>2.8698999999999999</v>
      </c>
      <c r="E60">
        <v>3.1410999999999998</v>
      </c>
      <c r="F60">
        <v>99.402100000000004</v>
      </c>
    </row>
    <row r="61" spans="1:6" x14ac:dyDescent="0.35">
      <c r="A61" s="2">
        <v>43769</v>
      </c>
      <c r="B61">
        <v>1462.82</v>
      </c>
      <c r="C61">
        <v>7.0533000000000001</v>
      </c>
      <c r="D61">
        <v>2.8262999999999998</v>
      </c>
      <c r="E61">
        <v>3.2879999999999998</v>
      </c>
      <c r="F61">
        <v>97.313299999999998</v>
      </c>
    </row>
    <row r="62" spans="1:6" x14ac:dyDescent="0.35">
      <c r="A62" s="2">
        <v>43798</v>
      </c>
      <c r="B62">
        <v>1473.25</v>
      </c>
      <c r="C62">
        <v>7.0297999999999998</v>
      </c>
      <c r="D62">
        <v>2.6894999999999998</v>
      </c>
      <c r="E62">
        <v>3.165</v>
      </c>
      <c r="F62">
        <v>98.2804</v>
      </c>
    </row>
    <row r="63" spans="1:6" x14ac:dyDescent="0.35">
      <c r="A63" s="2">
        <v>43830</v>
      </c>
      <c r="B63">
        <v>1531.48</v>
      </c>
      <c r="C63">
        <v>6.9762000000000004</v>
      </c>
      <c r="D63">
        <v>3.0731000000000002</v>
      </c>
      <c r="E63">
        <v>3.1364999999999998</v>
      </c>
      <c r="F63">
        <v>96.448099999999997</v>
      </c>
    </row>
    <row r="64" spans="1:6" x14ac:dyDescent="0.35">
      <c r="A64" s="2">
        <v>43853</v>
      </c>
      <c r="B64">
        <v>1486.56</v>
      </c>
      <c r="C64">
        <v>6.8875999999999999</v>
      </c>
      <c r="D64">
        <v>2.5998000000000001</v>
      </c>
      <c r="E64">
        <v>2.9931999999999999</v>
      </c>
      <c r="F64">
        <v>97.677800000000005</v>
      </c>
    </row>
    <row r="65" spans="1:6" x14ac:dyDescent="0.35">
      <c r="A65" s="2">
        <v>43889</v>
      </c>
      <c r="B65">
        <v>1373.22</v>
      </c>
      <c r="C65">
        <v>7.0065999999999997</v>
      </c>
      <c r="D65">
        <v>2.4687000000000001</v>
      </c>
      <c r="E65">
        <v>2.7376</v>
      </c>
      <c r="F65">
        <v>98.132999999999996</v>
      </c>
    </row>
    <row r="66" spans="1:6" x14ac:dyDescent="0.35">
      <c r="A66" s="2">
        <v>43921</v>
      </c>
      <c r="B66">
        <v>1278.25</v>
      </c>
      <c r="C66">
        <v>7.0850999999999997</v>
      </c>
      <c r="D66">
        <v>2.4952000000000001</v>
      </c>
      <c r="E66">
        <v>2.5899000000000001</v>
      </c>
      <c r="F66">
        <v>98.9636</v>
      </c>
    </row>
    <row r="67" spans="1:6" x14ac:dyDescent="0.35">
      <c r="A67" s="2">
        <v>43951</v>
      </c>
      <c r="B67">
        <v>1319.27</v>
      </c>
      <c r="C67">
        <v>7.0571000000000002</v>
      </c>
      <c r="D67">
        <v>1.9297</v>
      </c>
      <c r="E67">
        <v>2.5379999999999998</v>
      </c>
      <c r="F67">
        <v>99.0167</v>
      </c>
    </row>
    <row r="68" spans="1:6" x14ac:dyDescent="0.35">
      <c r="A68" s="2">
        <v>43980</v>
      </c>
      <c r="B68">
        <v>1399.54</v>
      </c>
      <c r="C68">
        <v>7.1315999999999997</v>
      </c>
      <c r="D68">
        <v>2.2210999999999999</v>
      </c>
      <c r="E68">
        <v>2.7052999999999998</v>
      </c>
      <c r="F68">
        <v>98.262799999999999</v>
      </c>
    </row>
    <row r="69" spans="1:6" x14ac:dyDescent="0.35">
      <c r="A69" s="2">
        <v>44012</v>
      </c>
      <c r="B69">
        <v>1418.87</v>
      </c>
      <c r="C69">
        <v>7.0795000000000003</v>
      </c>
      <c r="D69">
        <v>3.0518999999999998</v>
      </c>
      <c r="E69">
        <v>2.823</v>
      </c>
      <c r="F69">
        <v>97.384100000000004</v>
      </c>
    </row>
    <row r="70" spans="1:6" x14ac:dyDescent="0.35">
      <c r="A70" s="2">
        <v>44043</v>
      </c>
      <c r="B70">
        <v>1478.54</v>
      </c>
      <c r="C70">
        <v>6.9847999999999999</v>
      </c>
      <c r="D70">
        <v>2.3254000000000001</v>
      </c>
      <c r="E70">
        <v>2.9664000000000001</v>
      </c>
      <c r="F70">
        <v>93.484099999999998</v>
      </c>
    </row>
    <row r="71" spans="1:6" x14ac:dyDescent="0.35">
      <c r="A71" s="2">
        <v>44074</v>
      </c>
      <c r="B71">
        <v>1523.53</v>
      </c>
      <c r="C71">
        <v>6.8605</v>
      </c>
      <c r="D71">
        <v>2.5141</v>
      </c>
      <c r="E71">
        <v>3.0177</v>
      </c>
      <c r="F71">
        <v>92.171099999999996</v>
      </c>
    </row>
    <row r="72" spans="1:6" x14ac:dyDescent="0.35">
      <c r="A72" s="2">
        <v>44104</v>
      </c>
      <c r="B72">
        <v>1427.01</v>
      </c>
      <c r="C72">
        <v>6.8101000000000003</v>
      </c>
      <c r="D72">
        <v>2.5514000000000001</v>
      </c>
      <c r="E72">
        <v>3.1482000000000001</v>
      </c>
      <c r="F72">
        <v>93.847999999999999</v>
      </c>
    </row>
    <row r="73" spans="1:6" x14ac:dyDescent="0.35">
      <c r="A73" s="2">
        <v>44134</v>
      </c>
      <c r="B73">
        <v>1423.75</v>
      </c>
      <c r="C73">
        <v>6.7232000000000003</v>
      </c>
      <c r="D73">
        <v>3.3693</v>
      </c>
      <c r="E73">
        <v>3.181</v>
      </c>
      <c r="F73">
        <v>94.017499999999998</v>
      </c>
    </row>
    <row r="74" spans="1:6" x14ac:dyDescent="0.35">
      <c r="A74" s="2">
        <v>44165</v>
      </c>
      <c r="B74">
        <v>1541.45</v>
      </c>
      <c r="C74">
        <v>6.5781999999999998</v>
      </c>
      <c r="D74">
        <v>2.4761000000000002</v>
      </c>
      <c r="E74">
        <v>3.25</v>
      </c>
      <c r="F74">
        <v>92.033000000000001</v>
      </c>
    </row>
    <row r="75" spans="1:6" x14ac:dyDescent="0.35">
      <c r="A75" s="2">
        <v>44196</v>
      </c>
      <c r="B75">
        <v>1644.97</v>
      </c>
      <c r="C75">
        <v>6.5248999999999997</v>
      </c>
      <c r="D75">
        <v>2.5943000000000001</v>
      </c>
      <c r="E75">
        <v>3.1429</v>
      </c>
      <c r="F75">
        <v>89.958299999999994</v>
      </c>
    </row>
    <row r="76" spans="1:6" x14ac:dyDescent="0.35">
      <c r="A76" s="2">
        <v>44225</v>
      </c>
      <c r="B76">
        <v>1652.5</v>
      </c>
      <c r="C76">
        <v>6.4709000000000003</v>
      </c>
      <c r="D76">
        <v>4.3929999999999998</v>
      </c>
      <c r="E76">
        <v>3.1785999999999999</v>
      </c>
      <c r="F76">
        <v>90.538200000000003</v>
      </c>
    </row>
    <row r="77" spans="1:6" x14ac:dyDescent="0.35">
      <c r="A77" s="2">
        <v>44253</v>
      </c>
      <c r="B77">
        <v>1829.1</v>
      </c>
      <c r="C77">
        <v>6.4713000000000003</v>
      </c>
      <c r="D77">
        <v>2.3666999999999998</v>
      </c>
      <c r="E77">
        <v>3.2797999999999998</v>
      </c>
      <c r="F77">
        <v>90.939899999999994</v>
      </c>
    </row>
    <row r="78" spans="1:6" x14ac:dyDescent="0.35">
      <c r="A78" s="2">
        <v>44286</v>
      </c>
      <c r="B78">
        <v>1743.57</v>
      </c>
      <c r="C78">
        <v>6.5712999999999999</v>
      </c>
      <c r="D78">
        <v>2.6713</v>
      </c>
      <c r="E78">
        <v>3.1886999999999999</v>
      </c>
      <c r="F78">
        <v>93.183899999999994</v>
      </c>
    </row>
    <row r="79" spans="1:6" x14ac:dyDescent="0.35">
      <c r="A79" s="2">
        <v>44316</v>
      </c>
      <c r="B79">
        <v>1861.45</v>
      </c>
      <c r="C79">
        <v>6.4672000000000001</v>
      </c>
      <c r="D79">
        <v>2.3769</v>
      </c>
      <c r="E79">
        <v>3.1640000000000001</v>
      </c>
      <c r="F79">
        <v>91.298500000000004</v>
      </c>
    </row>
    <row r="80" spans="1:6" x14ac:dyDescent="0.35">
      <c r="A80" s="2">
        <v>44347</v>
      </c>
      <c r="B80">
        <v>1878.74</v>
      </c>
      <c r="C80">
        <v>6.3681999999999999</v>
      </c>
      <c r="D80">
        <v>2.7025999999999999</v>
      </c>
      <c r="E80">
        <v>3.0449999999999999</v>
      </c>
      <c r="F80">
        <v>89.846699999999998</v>
      </c>
    </row>
    <row r="81" spans="1:6" x14ac:dyDescent="0.35">
      <c r="A81" s="2">
        <v>44377</v>
      </c>
      <c r="B81">
        <v>1906.32</v>
      </c>
      <c r="C81">
        <v>6.4600999999999997</v>
      </c>
      <c r="D81">
        <v>3.242</v>
      </c>
      <c r="E81">
        <v>3.0777999999999999</v>
      </c>
      <c r="F81">
        <v>92.367099999999994</v>
      </c>
    </row>
    <row r="82" spans="1:6" x14ac:dyDescent="0.35">
      <c r="A82" s="2">
        <v>44407</v>
      </c>
      <c r="B82">
        <v>1971.43</v>
      </c>
      <c r="C82">
        <v>6.4602000000000004</v>
      </c>
      <c r="D82">
        <v>2.4135</v>
      </c>
      <c r="E82">
        <v>2.8363</v>
      </c>
      <c r="F82">
        <v>92.103200000000001</v>
      </c>
    </row>
    <row r="83" spans="1:6" x14ac:dyDescent="0.35">
      <c r="A83" s="2">
        <v>44439</v>
      </c>
      <c r="B83">
        <v>1936.35</v>
      </c>
      <c r="C83">
        <v>6.4679000000000002</v>
      </c>
      <c r="D83">
        <v>2.4950999999999999</v>
      </c>
      <c r="E83">
        <v>2.8450000000000002</v>
      </c>
      <c r="F83">
        <v>92.653999999999996</v>
      </c>
    </row>
    <row r="84" spans="1:6" x14ac:dyDescent="0.35">
      <c r="A84" s="2">
        <v>44469</v>
      </c>
      <c r="B84">
        <v>2022.31</v>
      </c>
      <c r="C84">
        <v>6.4854000000000003</v>
      </c>
      <c r="D84">
        <v>2.4270999999999998</v>
      </c>
      <c r="E84">
        <v>2.8776000000000002</v>
      </c>
      <c r="F84">
        <v>94.263800000000003</v>
      </c>
    </row>
    <row r="85" spans="1:6" x14ac:dyDescent="0.35">
      <c r="A85" s="2">
        <v>44498</v>
      </c>
      <c r="B85">
        <v>1982.7</v>
      </c>
      <c r="C85">
        <v>6.3906999999999998</v>
      </c>
      <c r="D85">
        <v>2.4249000000000001</v>
      </c>
      <c r="E85">
        <v>2.9731999999999998</v>
      </c>
      <c r="F85">
        <v>94.140799999999999</v>
      </c>
    </row>
    <row r="86" spans="1:6" x14ac:dyDescent="0.35">
      <c r="A86" s="2">
        <v>44530</v>
      </c>
      <c r="B86">
        <v>1885.94</v>
      </c>
      <c r="C86">
        <v>6.3794000000000004</v>
      </c>
      <c r="D86">
        <v>2.8056999999999999</v>
      </c>
      <c r="E86">
        <v>2.8250000000000002</v>
      </c>
      <c r="F86">
        <v>95.897000000000006</v>
      </c>
    </row>
    <row r="87" spans="1:6" x14ac:dyDescent="0.35">
      <c r="A87" s="2">
        <v>44561</v>
      </c>
      <c r="B87">
        <v>1989.47</v>
      </c>
      <c r="C87">
        <v>6.3757000000000001</v>
      </c>
      <c r="D87">
        <v>2.5482999999999998</v>
      </c>
      <c r="E87">
        <v>2.7753999999999999</v>
      </c>
      <c r="F87">
        <v>95.970100000000002</v>
      </c>
    </row>
    <row r="88" spans="1:6" x14ac:dyDescent="0.35">
      <c r="A88" s="2">
        <v>44591</v>
      </c>
      <c r="B88">
        <v>2136.6999999999998</v>
      </c>
      <c r="C88">
        <v>6.3746</v>
      </c>
      <c r="D88">
        <v>2.319</v>
      </c>
      <c r="E88">
        <v>2.6997</v>
      </c>
      <c r="F88">
        <v>97.213499999999996</v>
      </c>
    </row>
    <row r="89" spans="1:6" x14ac:dyDescent="0.35">
      <c r="A89" s="2">
        <v>44620</v>
      </c>
      <c r="B89">
        <v>2214.77</v>
      </c>
      <c r="C89">
        <v>6.3221999999999996</v>
      </c>
      <c r="D89">
        <v>2.4748999999999999</v>
      </c>
      <c r="E89">
        <v>2.7749999999999999</v>
      </c>
      <c r="F89">
        <v>96.706299999999999</v>
      </c>
    </row>
    <row r="90" spans="1:6" x14ac:dyDescent="0.35">
      <c r="A90" s="2">
        <v>44651</v>
      </c>
      <c r="B90">
        <v>2447.0500000000002</v>
      </c>
      <c r="C90">
        <v>6.3482000000000003</v>
      </c>
      <c r="D90">
        <v>2.7456999999999998</v>
      </c>
      <c r="E90">
        <v>2.7877999999999998</v>
      </c>
      <c r="F90">
        <v>98.361800000000002</v>
      </c>
    </row>
    <row r="91" spans="1:6" x14ac:dyDescent="0.35">
      <c r="A91" s="2">
        <v>44680</v>
      </c>
      <c r="B91">
        <v>2487.75</v>
      </c>
      <c r="C91">
        <v>6.6177000000000001</v>
      </c>
      <c r="D91">
        <v>2.0304000000000002</v>
      </c>
      <c r="E91">
        <v>2.8386</v>
      </c>
      <c r="F91">
        <v>103.21729999999999</v>
      </c>
    </row>
    <row r="92" spans="1:6" x14ac:dyDescent="0.35">
      <c r="A92" s="2">
        <v>44712</v>
      </c>
      <c r="B92">
        <v>2512.62</v>
      </c>
      <c r="C92">
        <v>6.6607000000000003</v>
      </c>
      <c r="D92">
        <v>1.8408</v>
      </c>
      <c r="E92">
        <v>2.7425999999999999</v>
      </c>
      <c r="F92">
        <v>101.7679</v>
      </c>
    </row>
    <row r="93" spans="1:6" x14ac:dyDescent="0.35">
      <c r="A93" s="2">
        <v>44742</v>
      </c>
      <c r="B93">
        <v>2304.73</v>
      </c>
      <c r="C93">
        <v>6.7114000000000003</v>
      </c>
      <c r="D93">
        <v>2.7078000000000002</v>
      </c>
      <c r="E93">
        <v>2.8205</v>
      </c>
      <c r="F93">
        <v>104.70569999999999</v>
      </c>
    </row>
    <row r="94" spans="1:6" x14ac:dyDescent="0.35">
      <c r="A94" s="2">
        <v>44771</v>
      </c>
      <c r="B94">
        <v>2194.92</v>
      </c>
      <c r="C94">
        <v>6.7436999999999996</v>
      </c>
      <c r="D94">
        <v>1.7035</v>
      </c>
      <c r="E94">
        <v>2.7559999999999998</v>
      </c>
      <c r="F94">
        <v>105.8361</v>
      </c>
    </row>
    <row r="95" spans="1:6" x14ac:dyDescent="0.35">
      <c r="A95" s="2">
        <v>44804</v>
      </c>
      <c r="B95">
        <v>2198.29</v>
      </c>
      <c r="C95">
        <v>6.8906000000000001</v>
      </c>
      <c r="D95">
        <v>1.6932</v>
      </c>
      <c r="E95">
        <v>2.6225000000000001</v>
      </c>
      <c r="F95">
        <v>108.67959999999999</v>
      </c>
    </row>
    <row r="96" spans="1:6" x14ac:dyDescent="0.35">
      <c r="A96" s="2">
        <v>44834</v>
      </c>
      <c r="B96">
        <v>2220.39</v>
      </c>
      <c r="C96">
        <v>7.0998000000000001</v>
      </c>
      <c r="D96">
        <v>2.1751</v>
      </c>
      <c r="E96">
        <v>2.7601</v>
      </c>
      <c r="F96">
        <v>112.1511</v>
      </c>
    </row>
    <row r="97" spans="1:6" x14ac:dyDescent="0.35">
      <c r="A97" s="2">
        <v>44865</v>
      </c>
      <c r="B97">
        <v>2141.7600000000002</v>
      </c>
      <c r="C97">
        <v>7.1768000000000001</v>
      </c>
      <c r="D97">
        <v>1.9912000000000001</v>
      </c>
      <c r="E97">
        <v>2.6433</v>
      </c>
      <c r="F97">
        <v>111.6036</v>
      </c>
    </row>
    <row r="98" spans="1:6" x14ac:dyDescent="0.35">
      <c r="A98" s="2">
        <v>44895</v>
      </c>
      <c r="B98">
        <v>2276.5500000000002</v>
      </c>
      <c r="C98">
        <v>7.1768999999999998</v>
      </c>
      <c r="D98">
        <v>2.2646000000000002</v>
      </c>
      <c r="E98">
        <v>2.8849999999999998</v>
      </c>
      <c r="F98">
        <v>105.9765</v>
      </c>
    </row>
    <row r="99" spans="1:6" x14ac:dyDescent="0.35">
      <c r="A99" s="2">
        <v>44926</v>
      </c>
      <c r="B99">
        <v>2380.66</v>
      </c>
      <c r="C99">
        <v>6.9645999999999999</v>
      </c>
      <c r="D99">
        <v>2.7879999999999998</v>
      </c>
      <c r="E99">
        <v>2.8353000000000002</v>
      </c>
      <c r="F99">
        <v>103.48950000000001</v>
      </c>
    </row>
    <row r="100" spans="1:6" x14ac:dyDescent="0.35">
      <c r="A100" s="2">
        <v>44957</v>
      </c>
      <c r="B100">
        <v>2404.63</v>
      </c>
      <c r="C100">
        <v>6.7603999999999997</v>
      </c>
      <c r="D100">
        <v>2.2995000000000001</v>
      </c>
      <c r="E100">
        <v>2.8976999999999999</v>
      </c>
      <c r="F100">
        <v>102.1037</v>
      </c>
    </row>
    <row r="101" spans="1:6" x14ac:dyDescent="0.35">
      <c r="A101" s="2">
        <v>44985</v>
      </c>
      <c r="B101">
        <v>2384.69</v>
      </c>
      <c r="C101">
        <v>6.9519000000000002</v>
      </c>
      <c r="D101">
        <v>3.0268000000000002</v>
      </c>
      <c r="E101">
        <v>2.9016999999999999</v>
      </c>
      <c r="F101">
        <v>104.9868</v>
      </c>
    </row>
    <row r="102" spans="1:6" x14ac:dyDescent="0.35">
      <c r="A102" s="2">
        <v>45016</v>
      </c>
      <c r="B102">
        <v>2346.96</v>
      </c>
      <c r="C102">
        <v>6.8716999999999997</v>
      </c>
      <c r="D102">
        <v>3.7081</v>
      </c>
      <c r="E102">
        <v>2.8527999999999998</v>
      </c>
      <c r="F102">
        <v>102.59699999999999</v>
      </c>
    </row>
    <row r="103" spans="1:6" x14ac:dyDescent="0.35">
      <c r="A103" s="2">
        <v>45044</v>
      </c>
      <c r="B103">
        <v>2250.58</v>
      </c>
      <c r="C103">
        <v>6.9240000000000004</v>
      </c>
      <c r="D103">
        <v>2.3719000000000001</v>
      </c>
      <c r="E103">
        <v>2.7787999999999999</v>
      </c>
      <c r="F103">
        <v>101.6645</v>
      </c>
    </row>
    <row r="104" spans="1:6" x14ac:dyDescent="0.35">
      <c r="A104" s="2">
        <v>45077</v>
      </c>
      <c r="B104">
        <v>2134.04</v>
      </c>
      <c r="C104">
        <v>7.0820999999999996</v>
      </c>
      <c r="D104">
        <v>2.0880000000000001</v>
      </c>
      <c r="E104">
        <v>2.6850000000000001</v>
      </c>
      <c r="F104">
        <v>104.2208</v>
      </c>
    </row>
    <row r="105" spans="1:6" x14ac:dyDescent="0.35">
      <c r="A105" s="2">
        <v>45107</v>
      </c>
      <c r="B105">
        <v>2297.63</v>
      </c>
      <c r="C105">
        <v>7.2257999999999996</v>
      </c>
      <c r="D105">
        <v>3.1273</v>
      </c>
      <c r="E105">
        <v>2.6351</v>
      </c>
      <c r="F105">
        <v>103.3788</v>
      </c>
    </row>
    <row r="106" spans="1:6" x14ac:dyDescent="0.35">
      <c r="A106" s="2">
        <v>45138</v>
      </c>
      <c r="B106">
        <v>2446.8000000000002</v>
      </c>
      <c r="C106">
        <v>7.1304999999999996</v>
      </c>
      <c r="D106">
        <v>1.9799</v>
      </c>
      <c r="E106">
        <v>2.6597</v>
      </c>
      <c r="F106">
        <v>101.8784</v>
      </c>
    </row>
    <row r="107" spans="1:6" x14ac:dyDescent="0.35">
      <c r="A107" s="2">
        <v>45169</v>
      </c>
      <c r="B107">
        <v>2551.16</v>
      </c>
      <c r="C107">
        <v>7.1810999999999998</v>
      </c>
      <c r="D107">
        <v>2.2982999999999998</v>
      </c>
      <c r="E107">
        <v>2.5575000000000001</v>
      </c>
      <c r="F107">
        <v>103.6279</v>
      </c>
    </row>
    <row r="108" spans="1:6" x14ac:dyDescent="0.35">
      <c r="A108" s="2">
        <v>45197</v>
      </c>
      <c r="B108">
        <v>2584.31</v>
      </c>
      <c r="C108">
        <v>7.1798000000000002</v>
      </c>
      <c r="D108">
        <v>2.5682</v>
      </c>
      <c r="E108">
        <v>2.6751</v>
      </c>
      <c r="F108">
        <v>106.13460000000001</v>
      </c>
    </row>
    <row r="109" spans="1:6" x14ac:dyDescent="0.35">
      <c r="A109" s="2">
        <v>45230</v>
      </c>
      <c r="B109">
        <v>2533.81</v>
      </c>
      <c r="C109">
        <v>7.1779000000000002</v>
      </c>
      <c r="D109">
        <v>2.7976999999999999</v>
      </c>
      <c r="E109">
        <v>2.6938</v>
      </c>
      <c r="F109">
        <v>106.7227</v>
      </c>
    </row>
    <row r="110" spans="1:6" x14ac:dyDescent="0.35">
      <c r="A110" s="2">
        <v>45260</v>
      </c>
      <c r="B110">
        <v>2556.96</v>
      </c>
      <c r="C110">
        <v>7.1017999999999999</v>
      </c>
      <c r="D110">
        <v>2.6535000000000002</v>
      </c>
      <c r="E110">
        <v>2.6680000000000001</v>
      </c>
      <c r="F110">
        <v>103.5064</v>
      </c>
    </row>
    <row r="111" spans="1:6" x14ac:dyDescent="0.35">
      <c r="A111" s="2">
        <v>45291</v>
      </c>
      <c r="B111">
        <v>2528.38</v>
      </c>
      <c r="C111">
        <v>7.0827</v>
      </c>
      <c r="D111">
        <v>2.2513000000000001</v>
      </c>
      <c r="E111">
        <v>2.5552999999999999</v>
      </c>
      <c r="F111">
        <v>101.37779999999999</v>
      </c>
    </row>
    <row r="112" spans="1:6" x14ac:dyDescent="0.35">
      <c r="A112" s="2">
        <v>45322</v>
      </c>
      <c r="B112">
        <v>2518.66</v>
      </c>
      <c r="C112">
        <v>7.1039000000000003</v>
      </c>
      <c r="D112">
        <v>2.3048999999999999</v>
      </c>
      <c r="E112">
        <v>2.4329999999999998</v>
      </c>
      <c r="F112">
        <v>103.5235</v>
      </c>
    </row>
    <row r="113" spans="1:6" x14ac:dyDescent="0.35">
      <c r="A113" s="2">
        <v>45351</v>
      </c>
      <c r="B113">
        <v>2524.89</v>
      </c>
      <c r="C113">
        <v>7.1036000000000001</v>
      </c>
      <c r="D113">
        <v>2.0381999999999998</v>
      </c>
      <c r="E113">
        <v>2.3374999999999999</v>
      </c>
      <c r="F113">
        <v>104.13590000000001</v>
      </c>
    </row>
    <row r="114" spans="1:6" x14ac:dyDescent="0.35">
      <c r="A114" s="2">
        <v>45380</v>
      </c>
      <c r="B114">
        <v>2534.39</v>
      </c>
      <c r="C114">
        <v>7.0949999999999998</v>
      </c>
      <c r="D114">
        <v>2.8088000000000002</v>
      </c>
      <c r="E114">
        <v>2.2900999999999998</v>
      </c>
      <c r="F114">
        <v>104.50700000000001</v>
      </c>
    </row>
    <row r="115" spans="1:6" x14ac:dyDescent="0.35">
      <c r="A115" s="2">
        <v>45412</v>
      </c>
      <c r="B115">
        <v>2682.11</v>
      </c>
      <c r="C115">
        <v>7.1063000000000001</v>
      </c>
      <c r="D115">
        <v>2.0899000000000001</v>
      </c>
      <c r="E115">
        <v>2.3028</v>
      </c>
      <c r="F115">
        <v>106.3369</v>
      </c>
    </row>
    <row r="116" spans="1:6" x14ac:dyDescent="0.35">
      <c r="A116" s="2">
        <v>45443</v>
      </c>
      <c r="B116">
        <v>2727.22</v>
      </c>
      <c r="C116">
        <v>7.1087999999999996</v>
      </c>
      <c r="D116">
        <v>1.8654999999999999</v>
      </c>
      <c r="E116">
        <v>2.2926000000000002</v>
      </c>
      <c r="F116">
        <v>104.6318</v>
      </c>
    </row>
    <row r="117" spans="1:6" x14ac:dyDescent="0.35">
      <c r="A117" s="2">
        <v>45471</v>
      </c>
      <c r="B117">
        <v>2648.18</v>
      </c>
      <c r="C117">
        <v>7.1268000000000002</v>
      </c>
      <c r="D117">
        <v>2.4491999999999998</v>
      </c>
      <c r="E117">
        <v>2.2058</v>
      </c>
      <c r="F117">
        <v>105.84269999999999</v>
      </c>
    </row>
    <row r="118" spans="1:6" x14ac:dyDescent="0.35">
      <c r="A118" s="2">
        <v>45504</v>
      </c>
      <c r="B118">
        <v>2510.83</v>
      </c>
      <c r="C118">
        <v>7.1345999999999998</v>
      </c>
      <c r="D118">
        <v>1.899</v>
      </c>
      <c r="E118">
        <v>2.1494</v>
      </c>
      <c r="F118">
        <v>104.0574</v>
      </c>
    </row>
    <row r="119" spans="1:6" x14ac:dyDescent="0.35">
      <c r="A119" s="2">
        <v>45534</v>
      </c>
      <c r="B119">
        <v>2472.9699999999998</v>
      </c>
      <c r="C119">
        <v>7.1124000000000001</v>
      </c>
      <c r="D119">
        <v>1.8442000000000001</v>
      </c>
      <c r="E119">
        <v>2.1703999999999999</v>
      </c>
      <c r="F119">
        <v>101.732</v>
      </c>
    </row>
    <row r="120" spans="1:6" x14ac:dyDescent="0.35">
      <c r="A120" s="2">
        <v>45565</v>
      </c>
      <c r="B120">
        <v>2586.67</v>
      </c>
      <c r="C120">
        <v>7.0073999999999996</v>
      </c>
      <c r="D120">
        <v>1.8324</v>
      </c>
      <c r="E120">
        <v>2.1518000000000002</v>
      </c>
      <c r="F120">
        <v>100.7604</v>
      </c>
    </row>
    <row r="121" spans="1:6" x14ac:dyDescent="0.35">
      <c r="A121" s="2">
        <v>45596</v>
      </c>
      <c r="B121">
        <v>2550.29</v>
      </c>
      <c r="C121">
        <v>7.125</v>
      </c>
      <c r="D121">
        <v>1.8508</v>
      </c>
      <c r="E121">
        <v>2.1476000000000002</v>
      </c>
      <c r="F121">
        <v>103.8939</v>
      </c>
    </row>
    <row r="122" spans="1:6" x14ac:dyDescent="0.35">
      <c r="A122" s="2">
        <v>45625</v>
      </c>
      <c r="B122">
        <v>2522.64</v>
      </c>
      <c r="C122">
        <v>7.1877000000000004</v>
      </c>
      <c r="D122">
        <v>1.7907999999999999</v>
      </c>
      <c r="E122">
        <v>2.0206</v>
      </c>
      <c r="F122">
        <v>105.7761</v>
      </c>
    </row>
    <row r="123" spans="1:6" x14ac:dyDescent="0.35">
      <c r="A123" s="2">
        <v>45657</v>
      </c>
      <c r="B123">
        <v>2496.4699999999998</v>
      </c>
      <c r="C123">
        <v>7.1883999999999997</v>
      </c>
      <c r="D123">
        <v>2.2281</v>
      </c>
      <c r="E123">
        <v>1.6752</v>
      </c>
      <c r="F123">
        <v>108.4816</v>
      </c>
    </row>
    <row r="124" spans="1:6" x14ac:dyDescent="0.35">
      <c r="A124" s="2">
        <v>45684</v>
      </c>
      <c r="B124">
        <v>2559.9699999999998</v>
      </c>
      <c r="C124">
        <v>7.1698000000000004</v>
      </c>
      <c r="D124">
        <v>1.8652</v>
      </c>
      <c r="E124">
        <v>1.6298999999999999</v>
      </c>
      <c r="F124">
        <v>107.3327</v>
      </c>
    </row>
    <row r="125" spans="1:6" x14ac:dyDescent="0.35">
      <c r="A125" s="2">
        <v>45716</v>
      </c>
      <c r="B125">
        <v>2552.92</v>
      </c>
      <c r="C125">
        <v>7.1738</v>
      </c>
      <c r="D125">
        <v>2.1356999999999999</v>
      </c>
      <c r="E125">
        <v>1.7152000000000001</v>
      </c>
      <c r="F125">
        <v>107.56440000000001</v>
      </c>
    </row>
    <row r="126" spans="1:6" x14ac:dyDescent="0.35">
      <c r="A126" s="2">
        <v>45747</v>
      </c>
      <c r="B126">
        <v>2534.37</v>
      </c>
      <c r="C126">
        <v>7.1782000000000004</v>
      </c>
      <c r="D126">
        <v>2.3029999999999999</v>
      </c>
      <c r="E126">
        <v>1.8129</v>
      </c>
      <c r="F126">
        <v>104.1921</v>
      </c>
    </row>
    <row r="127" spans="1:6" x14ac:dyDescent="0.35">
      <c r="A127" s="2">
        <v>45777</v>
      </c>
      <c r="B127">
        <v>2407.42</v>
      </c>
      <c r="C127">
        <v>7.2013999999999996</v>
      </c>
      <c r="D127">
        <v>1.8395999999999999</v>
      </c>
      <c r="E127">
        <v>1.6243000000000001</v>
      </c>
      <c r="F127">
        <v>99.640299999999996</v>
      </c>
    </row>
    <row r="128" spans="1:6" x14ac:dyDescent="0.35">
      <c r="A128" s="2">
        <v>45807</v>
      </c>
      <c r="B128">
        <v>2349.69</v>
      </c>
      <c r="C128">
        <v>7.1848000000000001</v>
      </c>
      <c r="D128">
        <v>1.6972</v>
      </c>
      <c r="E128">
        <v>1.6712</v>
      </c>
      <c r="F128">
        <v>99.439300000000003</v>
      </c>
    </row>
    <row r="129" spans="1:6" x14ac:dyDescent="0.35">
      <c r="A129" s="2">
        <v>45838</v>
      </c>
      <c r="B129">
        <v>2444.29</v>
      </c>
      <c r="C129">
        <v>7.1585999999999999</v>
      </c>
      <c r="D129">
        <v>2.0055999999999998</v>
      </c>
      <c r="E129">
        <v>1.6469</v>
      </c>
      <c r="F129">
        <v>96.772300000000001</v>
      </c>
    </row>
    <row r="130" spans="1:6" x14ac:dyDescent="0.35">
      <c r="A130" s="2">
        <v>45869</v>
      </c>
      <c r="B130">
        <v>2537.12</v>
      </c>
      <c r="C130">
        <v>7.1494</v>
      </c>
      <c r="D130">
        <v>1.5806</v>
      </c>
      <c r="E130">
        <v>1.7043999999999999</v>
      </c>
      <c r="F130">
        <v>100.0489</v>
      </c>
    </row>
    <row r="131" spans="1:6" x14ac:dyDescent="0.35">
      <c r="A131" s="2">
        <v>45898</v>
      </c>
      <c r="B131">
        <v>2521.31</v>
      </c>
      <c r="C131">
        <v>7.1029999999999998</v>
      </c>
      <c r="D131">
        <v>1.5170999999999999</v>
      </c>
      <c r="E131">
        <v>1.8379000000000001</v>
      </c>
      <c r="F131">
        <v>97.847700000000003</v>
      </c>
    </row>
    <row r="132" spans="1:6" x14ac:dyDescent="0.35">
      <c r="A132" s="2">
        <v>45930</v>
      </c>
      <c r="B132">
        <v>2539.12</v>
      </c>
      <c r="C132">
        <v>7.1055000000000001</v>
      </c>
      <c r="D132">
        <v>1.6117999999999999</v>
      </c>
      <c r="E132">
        <v>1.8605</v>
      </c>
      <c r="F132">
        <v>97.822400000000002</v>
      </c>
    </row>
    <row r="133" spans="1:6" x14ac:dyDescent="0.35">
      <c r="A133" s="2">
        <v>45961</v>
      </c>
      <c r="B133">
        <v>2538.87</v>
      </c>
      <c r="C133">
        <v>7.0880000000000001</v>
      </c>
      <c r="D133">
        <v>1.4923</v>
      </c>
      <c r="E133">
        <v>1.7954000000000001</v>
      </c>
      <c r="F133">
        <v>99.730800000000002</v>
      </c>
    </row>
    <row r="134" spans="1:6" x14ac:dyDescent="0.35">
      <c r="A134" s="2">
        <v>45989</v>
      </c>
      <c r="B134">
        <v>2552.44</v>
      </c>
      <c r="C134">
        <v>7.0789</v>
      </c>
      <c r="D134">
        <v>1.5222</v>
      </c>
      <c r="E134">
        <v>1.8411999999999999</v>
      </c>
      <c r="F134">
        <v>99.439099999999996</v>
      </c>
    </row>
    <row r="135" spans="1:6" x14ac:dyDescent="0.35">
      <c r="A135" s="2">
        <v>46022</v>
      </c>
      <c r="B135">
        <v>2631.32</v>
      </c>
      <c r="C135">
        <v>7.0288000000000004</v>
      </c>
      <c r="D135">
        <v>2.1558999999999999</v>
      </c>
      <c r="E135">
        <v>1.8472999999999999</v>
      </c>
      <c r="F135">
        <v>98.269599999999997</v>
      </c>
    </row>
    <row r="136" spans="1:6" x14ac:dyDescent="0.35">
      <c r="A136" s="2">
        <v>46052</v>
      </c>
      <c r="B136">
        <v>2858</v>
      </c>
      <c r="C136">
        <v>6.9678000000000004</v>
      </c>
      <c r="D136">
        <v>1.6400999999999999</v>
      </c>
      <c r="E136">
        <v>1.8111999999999999</v>
      </c>
      <c r="F136">
        <v>97.115200000000002</v>
      </c>
    </row>
    <row r="137" spans="1:6" x14ac:dyDescent="0.35">
      <c r="A137" s="2">
        <v>46081</v>
      </c>
      <c r="B137">
        <v>2820.27</v>
      </c>
      <c r="C137">
        <v>6.9227999999999996</v>
      </c>
      <c r="D137">
        <v>1.5074000000000001</v>
      </c>
      <c r="E137">
        <v>1.7753000000000001</v>
      </c>
      <c r="F137">
        <v>97.644300000000001</v>
      </c>
    </row>
    <row r="138" spans="1:6" x14ac:dyDescent="0.35">
      <c r="A138" s="2">
        <v>46112</v>
      </c>
      <c r="B138">
        <v>3074.62</v>
      </c>
      <c r="C138">
        <v>6.9194000000000004</v>
      </c>
      <c r="D138">
        <v>1.4887999999999999</v>
      </c>
      <c r="E138">
        <v>1.8170999999999999</v>
      </c>
      <c r="F138">
        <v>99.881699999999995</v>
      </c>
    </row>
    <row r="139" spans="1:6" x14ac:dyDescent="0.35">
      <c r="A139" s="2">
        <v>46136</v>
      </c>
      <c r="B139">
        <v>3055.53</v>
      </c>
      <c r="C139">
        <v>6.8673999999999999</v>
      </c>
      <c r="D139">
        <v>1.3702000000000001</v>
      </c>
      <c r="E139">
        <v>1.7601</v>
      </c>
      <c r="F139">
        <v>98.526700000000005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PMI_MFG_M</vt:lpstr>
      <vt:lpstr>IAV_YOY_M</vt:lpstr>
      <vt:lpstr>PPI_YOY_M</vt:lpstr>
      <vt:lpstr>CPI_YOY_M</vt:lpstr>
      <vt:lpstr>NHCCI_D</vt:lpstr>
      <vt:lpstr>SFS_YOY_M</vt:lpstr>
      <vt:lpstr>M1_YOY_M</vt:lpstr>
      <vt:lpstr>M2_YOY_M</vt:lpstr>
      <vt:lpstr>M1M2_DIFF_M</vt:lpstr>
      <vt:lpstr>monthly_data_daily_factor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Shunchang Wang</dc:creator>
  <cp:lastModifiedBy>Shunchang Wang</cp:lastModifiedBy>
  <dcterms:created xsi:type="dcterms:W3CDTF">2026-05-02T14:07:01Z</dcterms:created>
  <dcterms:modified xsi:type="dcterms:W3CDTF">2026-05-04T14:00:52Z</dcterms:modified>
</cp:coreProperties>
</file>